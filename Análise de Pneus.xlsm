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NATO.ALVES\Desktop\"/>
    </mc:Choice>
  </mc:AlternateContent>
  <xr:revisionPtr revIDLastSave="0" documentId="13_ncr:1_{5F4742E4-9FBE-4427-AD1B-60038AF84E29}" xr6:coauthVersionLast="47" xr6:coauthVersionMax="47" xr10:uidLastSave="{00000000-0000-0000-0000-000000000000}"/>
  <bookViews>
    <workbookView xWindow="-120" yWindow="-120" windowWidth="20730" windowHeight="11160" xr2:uid="{DDE99F58-2DD3-4653-9B39-17B81223B964}"/>
  </bookViews>
  <sheets>
    <sheet name="DadosBruto" sheetId="1" r:id="rId1"/>
    <sheet name="Dashboard" sheetId="13" r:id="rId2"/>
  </sheets>
  <definedNames>
    <definedName name="_xlnm._FilterDatabase" localSheetId="0" hidden="1">DadosBruto!$A$5:$O$600</definedName>
    <definedName name="_xlnm.Extract" localSheetId="0">DadosBruto!$A$1:$O$2</definedName>
    <definedName name="Banda">DadosBruto!$C$5:$C$600</definedName>
    <definedName name="_xlnm.Criteria" localSheetId="0">DadosBruto!$A$1:$O$2</definedName>
    <definedName name="DadosBruto">DadosBruto!$A$5:$O$600</definedName>
    <definedName name="DadosPneus">DadosBruto!$A$5:$O$600</definedName>
    <definedName name="Dot">DadosBruto!$D$5:$D$600</definedName>
    <definedName name="KmNovo">DadosBruto!$E$5:$E$600</definedName>
    <definedName name="Marca">DadosBruto!$B$5:$B$600</definedName>
    <definedName name="ModeloR1">DadosBruto!$H$5:$H$600</definedName>
    <definedName name="ModeloR2">DadosBruto!$K$5:$K$600</definedName>
    <definedName name="MotivoSaidaR1">DadosBruto!$I$5:$I$600</definedName>
    <definedName name="MotivoSaidaR2">DadosBruto!$L$5:$L$600</definedName>
    <definedName name="NumeroDeFogo">DadosBruto!$A$5:$A$600</definedName>
    <definedName name="quilometragemR1">DadosBruto!$G$5:$G$600</definedName>
    <definedName name="QuilometragemR2">DadosBruto!$J$5:$J$600</definedName>
    <definedName name="SaidaNovo">DadosBruto!$F$5:$F$600</definedName>
    <definedName name="Status">DadosBruto!$M$5:$M$600</definedName>
  </definedNames>
  <calcPr calcId="181029"/>
  <pivotCaches>
    <pivotCache cacheId="7" r:id="rId3"/>
    <pivotCache cacheId="25" r:id="rId4"/>
    <pivotCache cacheId="14" r:id="rId5"/>
    <pivotCache cacheId="18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6" i="1" l="1"/>
  <c r="N377" i="1"/>
  <c r="N378" i="1"/>
  <c r="N375" i="1"/>
  <c r="N371" i="1"/>
  <c r="N372" i="1"/>
  <c r="N373" i="1"/>
  <c r="N374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E269" i="1"/>
  <c r="N269" i="1" s="1"/>
  <c r="N185" i="1"/>
  <c r="G141" i="1"/>
  <c r="N141" i="1" s="1"/>
  <c r="E71" i="1"/>
  <c r="N71" i="1" s="1"/>
  <c r="E19" i="1"/>
  <c r="N19" i="1" s="1"/>
  <c r="J18" i="1"/>
  <c r="N18" i="1" s="1"/>
  <c r="N9" i="1"/>
  <c r="N10" i="1"/>
  <c r="N11" i="1"/>
  <c r="N12" i="1"/>
  <c r="N13" i="1"/>
  <c r="N14" i="1"/>
  <c r="N15" i="1"/>
  <c r="N16" i="1"/>
  <c r="N17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7" i="1"/>
  <c r="N8" i="1"/>
  <c r="N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Alves</author>
  </authors>
  <commentList>
    <comment ref="F5" authorId="0" shapeId="0" xr:uid="{A27AE34F-A63C-4497-B9FA-40AD394DCA9B}">
      <text>
        <r>
          <rPr>
            <b/>
            <sz val="9"/>
            <color indexed="81"/>
            <rFont val="Segoe UI"/>
            <family val="2"/>
          </rPr>
          <t>Causa da saída do pneu novo</t>
        </r>
      </text>
    </comment>
    <comment ref="I5" authorId="0" shapeId="0" xr:uid="{D4F9150D-3CE0-4793-AABD-468768D88688}">
      <text>
        <r>
          <rPr>
            <b/>
            <sz val="9"/>
            <color indexed="81"/>
            <rFont val="Segoe UI"/>
            <family val="2"/>
          </rPr>
          <t>Causa da saída da primeira ressolagem</t>
        </r>
      </text>
    </comment>
    <comment ref="L5" authorId="0" shapeId="0" xr:uid="{F0EF613C-B9F8-4D3F-8325-C69310AC519F}">
      <text>
        <r>
          <rPr>
            <b/>
            <sz val="9"/>
            <color indexed="81"/>
            <rFont val="Segoe UI"/>
            <family val="2"/>
          </rPr>
          <t>Causa da saída da segunda ressolagem</t>
        </r>
      </text>
    </comment>
    <comment ref="A277" authorId="0" shapeId="0" xr:uid="{DCDF858E-8C87-458B-B8B0-7100CDA2D32C}">
      <text>
        <r>
          <rPr>
            <b/>
            <sz val="9"/>
            <color indexed="81"/>
            <rFont val="Segoe UI"/>
            <family val="2"/>
          </rPr>
          <t>Conserto foi apontado como ressolagem R1 no Globus</t>
        </r>
      </text>
    </comment>
    <comment ref="A374" authorId="0" shapeId="0" xr:uid="{9020CD33-E7DE-4607-A58D-0319096D7DA2}">
      <text>
        <r>
          <rPr>
            <b/>
            <sz val="9"/>
            <color indexed="81"/>
            <rFont val="Segoe UI"/>
            <family val="2"/>
          </rPr>
          <t>Pneu de Cotia. Veio no 8009A</t>
        </r>
      </text>
    </comment>
    <comment ref="A375" authorId="0" shapeId="0" xr:uid="{53DBBFD1-5060-49A0-9A58-0B18FD100983}">
      <text>
        <r>
          <rPr>
            <b/>
            <sz val="9"/>
            <color indexed="81"/>
            <rFont val="Segoe UI"/>
            <family val="2"/>
          </rPr>
          <t>Pneu de Cotia. Veio no 8009A</t>
        </r>
      </text>
    </comment>
  </commentList>
</comments>
</file>

<file path=xl/sharedStrings.xml><?xml version="1.0" encoding="utf-8"?>
<sst xmlns="http://schemas.openxmlformats.org/spreadsheetml/2006/main" count="2020" uniqueCount="76">
  <si>
    <t>MARCA</t>
  </si>
  <si>
    <t>KM TOTAL</t>
  </si>
  <si>
    <t>NOVO</t>
  </si>
  <si>
    <t>R1</t>
  </si>
  <si>
    <t>R2</t>
  </si>
  <si>
    <t>Goodyear</t>
  </si>
  <si>
    <t>G665</t>
  </si>
  <si>
    <t>Valor de Compra</t>
  </si>
  <si>
    <t>Pirelli</t>
  </si>
  <si>
    <t>MC01</t>
  </si>
  <si>
    <t>FR01</t>
  </si>
  <si>
    <t>Michelin</t>
  </si>
  <si>
    <t>X-incity</t>
  </si>
  <si>
    <t>Bridgestone</t>
  </si>
  <si>
    <t>R163</t>
  </si>
  <si>
    <t>CityMax</t>
  </si>
  <si>
    <t>FateCargo</t>
  </si>
  <si>
    <t>SR-260</t>
  </si>
  <si>
    <t>Status</t>
  </si>
  <si>
    <t>Sucata</t>
  </si>
  <si>
    <t>Mod</t>
  </si>
  <si>
    <t>DVR-M</t>
  </si>
  <si>
    <t>VL-110L</t>
  </si>
  <si>
    <t>Infiltração</t>
  </si>
  <si>
    <t>BusPlus</t>
  </si>
  <si>
    <t>Garantia</t>
  </si>
  <si>
    <t>sucata</t>
  </si>
  <si>
    <t>X-Incity</t>
  </si>
  <si>
    <t>Furado</t>
  </si>
  <si>
    <t>Liso</t>
  </si>
  <si>
    <t>Estoque</t>
  </si>
  <si>
    <t xml:space="preserve">  DOT</t>
  </si>
  <si>
    <t xml:space="preserve">  Banda</t>
  </si>
  <si>
    <t>Nº DE FOGO</t>
  </si>
  <si>
    <t>Estoque MSO</t>
  </si>
  <si>
    <t>Corte lateral</t>
  </si>
  <si>
    <t>0222</t>
  </si>
  <si>
    <t>0322</t>
  </si>
  <si>
    <t>0921</t>
  </si>
  <si>
    <t>0621</t>
  </si>
  <si>
    <t>0821</t>
  </si>
  <si>
    <t>0922</t>
  </si>
  <si>
    <t>2022</t>
  </si>
  <si>
    <t>1122</t>
  </si>
  <si>
    <t>5121</t>
  </si>
  <si>
    <t>Conserto</t>
  </si>
  <si>
    <t>SAÍDA 1ª</t>
  </si>
  <si>
    <t>SAÍDA 2ª</t>
  </si>
  <si>
    <t>SAÍDA 3ª</t>
  </si>
  <si>
    <t>G600</t>
  </si>
  <si>
    <t>Desg. Irregular</t>
  </si>
  <si>
    <t>s/ dados</t>
  </si>
  <si>
    <t>Corte na banda</t>
  </si>
  <si>
    <t>Barretos</t>
  </si>
  <si>
    <t>DAC</t>
  </si>
  <si>
    <t>Banda</t>
  </si>
  <si>
    <t>Total Geral</t>
  </si>
  <si>
    <t>Motivo de Saída</t>
  </si>
  <si>
    <t>Motivo</t>
  </si>
  <si>
    <t>Quantidade</t>
  </si>
  <si>
    <t>Km Médio</t>
  </si>
  <si>
    <t>Análise Primeira Vida (novo)</t>
  </si>
  <si>
    <t>Primeira vida</t>
  </si>
  <si>
    <t>Primeira Ressolagem</t>
  </si>
  <si>
    <t>Análise Primeira Ressolagem</t>
  </si>
  <si>
    <t>Segunda Ressolagem</t>
  </si>
  <si>
    <t>Análise Segunda Ressolagem</t>
  </si>
  <si>
    <t>2322</t>
  </si>
  <si>
    <t>2422</t>
  </si>
  <si>
    <t>4314</t>
  </si>
  <si>
    <t>DV-UM</t>
  </si>
  <si>
    <t>km R1</t>
  </si>
  <si>
    <t>km R2</t>
  </si>
  <si>
    <t>4222</t>
  </si>
  <si>
    <t>1222</t>
  </si>
  <si>
    <t>4122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</si>
</sst>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Segoe UI"/>
      <family val="2"/>
    </font>
    <font>
      <b/>
      <sz val="12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8" fillId="14" borderId="0" applyNumberFormat="0" applyBorder="0" applyAlignment="0" applyProtection="0"/>
    <xf numFmtId="0" fontId="2" fillId="15" borderId="0" applyNumberFormat="0" applyBorder="0" applyAlignment="0" applyProtection="0"/>
    <xf numFmtId="44" fontId="2" fillId="0" borderId="0" applyFon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0" fillId="2" borderId="1" xfId="0" applyFill="1" applyBorder="1"/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2" xfId="0" applyBorder="1"/>
    <xf numFmtId="0" fontId="0" fillId="3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/>
    <xf numFmtId="49" fontId="0" fillId="0" borderId="1" xfId="0" applyNumberFormat="1" applyBorder="1" applyAlignment="1">
      <alignment horizontal="center"/>
    </xf>
    <xf numFmtId="49" fontId="0" fillId="8" borderId="1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6" xfId="0" pivotButton="1" applyBorder="1"/>
    <xf numFmtId="0" fontId="0" fillId="12" borderId="0" xfId="0" applyFill="1"/>
    <xf numFmtId="1" fontId="0" fillId="0" borderId="15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5" xfId="0" pivotButton="1" applyBorder="1"/>
    <xf numFmtId="0" fontId="0" fillId="0" borderId="7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0" fillId="16" borderId="0" xfId="0" applyFill="1" applyAlignment="1">
      <alignment horizontal="center"/>
    </xf>
    <xf numFmtId="0" fontId="0" fillId="16" borderId="0" xfId="0" applyFill="1"/>
    <xf numFmtId="1" fontId="0" fillId="0" borderId="8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0" fillId="0" borderId="25" xfId="0" pivotButton="1" applyBorder="1"/>
    <xf numFmtId="0" fontId="0" fillId="0" borderId="17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5" xfId="0" applyBorder="1" applyAlignment="1">
      <alignment horizontal="center"/>
    </xf>
    <xf numFmtId="0" fontId="2" fillId="15" borderId="24" xfId="2" applyBorder="1" applyAlignment="1">
      <alignment horizontal="center"/>
    </xf>
    <xf numFmtId="0" fontId="2" fillId="15" borderId="28" xfId="2" applyBorder="1"/>
    <xf numFmtId="49" fontId="2" fillId="15" borderId="28" xfId="2" applyNumberFormat="1" applyBorder="1" applyAlignment="1">
      <alignment horizontal="center"/>
    </xf>
    <xf numFmtId="0" fontId="2" fillId="15" borderId="28" xfId="2" applyBorder="1" applyAlignment="1">
      <alignment horizontal="center"/>
    </xf>
    <xf numFmtId="0" fontId="2" fillId="15" borderId="29" xfId="2" applyBorder="1"/>
    <xf numFmtId="0" fontId="9" fillId="14" borderId="23" xfId="1" applyFont="1" applyBorder="1" applyAlignment="1">
      <alignment horizontal="center"/>
    </xf>
    <xf numFmtId="0" fontId="9" fillId="14" borderId="26" xfId="1" applyFont="1" applyBorder="1" applyAlignment="1">
      <alignment horizontal="center"/>
    </xf>
    <xf numFmtId="0" fontId="9" fillId="14" borderId="26" xfId="1" applyFont="1" applyBorder="1" applyAlignment="1">
      <alignment horizontal="left"/>
    </xf>
    <xf numFmtId="0" fontId="9" fillId="14" borderId="27" xfId="1" applyFon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4" xfId="0" applyBorder="1"/>
    <xf numFmtId="49" fontId="0" fillId="0" borderId="4" xfId="0" applyNumberFormat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1" xfId="2" applyFill="1" applyBorder="1" applyAlignment="1">
      <alignment horizontal="center"/>
    </xf>
    <xf numFmtId="0" fontId="2" fillId="0" borderId="1" xfId="2" applyFill="1" applyBorder="1"/>
    <xf numFmtId="49" fontId="2" fillId="0" borderId="1" xfId="2" applyNumberForma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2" fillId="0" borderId="4" xfId="2" applyFill="1" applyBorder="1" applyAlignment="1">
      <alignment horizontal="center"/>
    </xf>
    <xf numFmtId="0" fontId="2" fillId="0" borderId="4" xfId="2" applyFill="1" applyBorder="1"/>
    <xf numFmtId="49" fontId="2" fillId="0" borderId="4" xfId="2" applyNumberFormat="1" applyFill="1" applyBorder="1" applyAlignment="1">
      <alignment horizontal="center"/>
    </xf>
    <xf numFmtId="164" fontId="0" fillId="0" borderId="1" xfId="3" applyNumberFormat="1" applyFont="1" applyBorder="1"/>
    <xf numFmtId="164" fontId="0" fillId="0" borderId="4" xfId="3" applyNumberFormat="1" applyFont="1" applyBorder="1"/>
    <xf numFmtId="164" fontId="0" fillId="0" borderId="1" xfId="0" applyNumberFormat="1" applyBorder="1"/>
    <xf numFmtId="0" fontId="2" fillId="4" borderId="1" xfId="2" applyFill="1" applyBorder="1" applyAlignment="1">
      <alignment horizontal="center"/>
    </xf>
    <xf numFmtId="0" fontId="12" fillId="14" borderId="26" xfId="1" applyFont="1" applyBorder="1" applyAlignment="1">
      <alignment horizontal="center"/>
    </xf>
    <xf numFmtId="0" fontId="4" fillId="11" borderId="8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2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 vertical="center"/>
    </xf>
    <xf numFmtId="0" fontId="3" fillId="11" borderId="12" xfId="0" applyFont="1" applyFill="1" applyBorder="1" applyAlignment="1">
      <alignment horizontal="center" vertical="center"/>
    </xf>
    <xf numFmtId="0" fontId="5" fillId="13" borderId="20" xfId="0" applyFont="1" applyFill="1" applyBorder="1" applyAlignment="1">
      <alignment horizontal="center" vertical="center" textRotation="90"/>
    </xf>
    <xf numFmtId="0" fontId="5" fillId="13" borderId="21" xfId="0" applyFont="1" applyFill="1" applyBorder="1" applyAlignment="1">
      <alignment horizontal="center" vertical="center" textRotation="90"/>
    </xf>
    <xf numFmtId="0" fontId="5" fillId="13" borderId="22" xfId="0" applyFont="1" applyFill="1" applyBorder="1" applyAlignment="1">
      <alignment horizontal="center" vertical="center" textRotation="90"/>
    </xf>
    <xf numFmtId="0" fontId="3" fillId="11" borderId="8" xfId="0" applyFont="1" applyFill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/>
    </xf>
    <xf numFmtId="0" fontId="3" fillId="11" borderId="13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 textRotation="90"/>
    </xf>
    <xf numFmtId="0" fontId="5" fillId="13" borderId="15" xfId="0" applyFont="1" applyFill="1" applyBorder="1" applyAlignment="1">
      <alignment horizontal="center" vertical="center" textRotation="90"/>
    </xf>
    <xf numFmtId="0" fontId="5" fillId="13" borderId="14" xfId="0" applyFont="1" applyFill="1" applyBorder="1" applyAlignment="1">
      <alignment horizontal="center" vertical="center" textRotation="90"/>
    </xf>
    <xf numFmtId="0" fontId="0" fillId="0" borderId="13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164" fontId="0" fillId="0" borderId="1" xfId="3" applyNumberFormat="1" applyFont="1" applyFill="1" applyBorder="1"/>
  </cellXfs>
  <cellStyles count="4">
    <cellStyle name="20% - Ênfase5" xfId="2" builtinId="46"/>
    <cellStyle name="Ênfase1" xfId="1" builtinId="29"/>
    <cellStyle name="Moeda" xfId="3" builtinId="4"/>
    <cellStyle name="Normal" xfId="0" builtinId="0"/>
  </cellStyles>
  <dxfs count="73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top style="medium">
          <color indexed="64"/>
        </top>
        <bottom style="medium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numFmt numFmtId="1" formatCode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/>
        <right/>
        <top/>
        <bottom/>
      </border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numFmt numFmtId="1" formatCode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numFmt numFmtId="1" formatCode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ED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3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de Pneus.xlsm]Dashboard!Tabela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Motivo de Saída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ED0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rgbClr val="FF0000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Dashboard!$C$16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E79-4193-9C67-975B5D0172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E79-4193-9C67-975B5D0172CD}"/>
              </c:ext>
            </c:extLst>
          </c:dPt>
          <c:dPt>
            <c:idx val="2"/>
            <c:bubble3D val="0"/>
            <c:spPr>
              <a:solidFill>
                <a:srgbClr val="FFED0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79-4193-9C67-975B5D0172C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E79-4193-9C67-975B5D0172C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E79-4193-9C67-975B5D0172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Dashboard!$B$17:$B$22</c:f>
              <c:strCache>
                <c:ptCount val="5"/>
                <c:pt idx="0">
                  <c:v>Corte na banda</c:v>
                </c:pt>
                <c:pt idx="1">
                  <c:v>Desg. Irregular</c:v>
                </c:pt>
                <c:pt idx="2">
                  <c:v>Furado</c:v>
                </c:pt>
                <c:pt idx="3">
                  <c:v>Infiltração</c:v>
                </c:pt>
                <c:pt idx="4">
                  <c:v>Liso</c:v>
                </c:pt>
              </c:strCache>
            </c:strRef>
          </c:cat>
          <c:val>
            <c:numRef>
              <c:f>Dashboard!$C$17:$C$22</c:f>
              <c:numCache>
                <c:formatCode>General</c:formatCode>
                <c:ptCount val="5"/>
                <c:pt idx="0">
                  <c:v>1</c:v>
                </c:pt>
                <c:pt idx="1">
                  <c:v>11</c:v>
                </c:pt>
                <c:pt idx="2">
                  <c:v>26</c:v>
                </c:pt>
                <c:pt idx="3">
                  <c:v>4</c:v>
                </c:pt>
                <c:pt idx="4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79-4193-9C67-975B5D0172CD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de Pneus.xlsm]Dashboard!Tabela dinâmica2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239450414610125"/>
          <c:y val="0.16203299770902721"/>
          <c:w val="0.85394608692781326"/>
          <c:h val="0.741326117051597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Dashboard!$C$6</c:f>
              <c:strCache>
                <c:ptCount val="1"/>
                <c:pt idx="0">
                  <c:v>Km 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Dashboard!$B$7:$B$14</c:f>
              <c:strCache>
                <c:ptCount val="7"/>
                <c:pt idx="0">
                  <c:v>CityMax</c:v>
                </c:pt>
                <c:pt idx="1">
                  <c:v>FR01</c:v>
                </c:pt>
                <c:pt idx="2">
                  <c:v>G665</c:v>
                </c:pt>
                <c:pt idx="3">
                  <c:v>MC01</c:v>
                </c:pt>
                <c:pt idx="4">
                  <c:v>R163</c:v>
                </c:pt>
                <c:pt idx="5">
                  <c:v>SR-260</c:v>
                </c:pt>
                <c:pt idx="6">
                  <c:v>X-incity</c:v>
                </c:pt>
              </c:strCache>
            </c:strRef>
          </c:cat>
          <c:val>
            <c:numRef>
              <c:f>Dashboard!$C$7:$C$14</c:f>
              <c:numCache>
                <c:formatCode>0</c:formatCode>
                <c:ptCount val="7"/>
                <c:pt idx="0">
                  <c:v>98042.181818181823</c:v>
                </c:pt>
                <c:pt idx="1">
                  <c:v>87634.473684210519</c:v>
                </c:pt>
                <c:pt idx="2">
                  <c:v>84970.769230769234</c:v>
                </c:pt>
                <c:pt idx="3">
                  <c:v>110106.13636363637</c:v>
                </c:pt>
                <c:pt idx="4">
                  <c:v>88335</c:v>
                </c:pt>
                <c:pt idx="5">
                  <c:v>38504.333333333336</c:v>
                </c:pt>
                <c:pt idx="6">
                  <c:v>99205.936842105264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2-4821-9B9E-A743F01F0D25}"/>
            </c:ext>
          </c:extLst>
        </c:ser>
        <c:ser>
          <c:idx val="1"/>
          <c:order val="1"/>
          <c:tx>
            <c:strRef>
              <c:f>Dashboard!$D$6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Dashboard!$B$7:$B$14</c:f>
              <c:strCache>
                <c:ptCount val="7"/>
                <c:pt idx="0">
                  <c:v>CityMax</c:v>
                </c:pt>
                <c:pt idx="1">
                  <c:v>FR01</c:v>
                </c:pt>
                <c:pt idx="2">
                  <c:v>G665</c:v>
                </c:pt>
                <c:pt idx="3">
                  <c:v>MC01</c:v>
                </c:pt>
                <c:pt idx="4">
                  <c:v>R163</c:v>
                </c:pt>
                <c:pt idx="5">
                  <c:v>SR-260</c:v>
                </c:pt>
                <c:pt idx="6">
                  <c:v>X-incity</c:v>
                </c:pt>
              </c:strCache>
            </c:strRef>
          </c:cat>
          <c:val>
            <c:numRef>
              <c:f>Dashboard!$D$7:$D$14</c:f>
              <c:numCache>
                <c:formatCode>0</c:formatCode>
                <c:ptCount val="7"/>
                <c:pt idx="0">
                  <c:v>11</c:v>
                </c:pt>
                <c:pt idx="1">
                  <c:v>19</c:v>
                </c:pt>
                <c:pt idx="2">
                  <c:v>39</c:v>
                </c:pt>
                <c:pt idx="3">
                  <c:v>66</c:v>
                </c:pt>
                <c:pt idx="4">
                  <c:v>5</c:v>
                </c:pt>
                <c:pt idx="5">
                  <c:v>6</c:v>
                </c:pt>
                <c:pt idx="6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22-4821-9B9E-A743F01F0D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3509192"/>
        <c:axId val="473509520"/>
      </c:barChart>
      <c:catAx>
        <c:axId val="473509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509520"/>
        <c:crosses val="autoZero"/>
        <c:auto val="1"/>
        <c:lblAlgn val="ctr"/>
        <c:lblOffset val="100"/>
        <c:noMultiLvlLbl val="0"/>
      </c:catAx>
      <c:valAx>
        <c:axId val="4735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50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473332342891098"/>
          <c:y val="4.1756780402449692E-2"/>
          <c:w val="0.48089910144879688"/>
          <c:h val="0.120567966041281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de Pneus.xlsm]Dashboard!Tabela dinâmica6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Motivo</a:t>
            </a:r>
            <a:r>
              <a:rPr lang="en-US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Saída</a:t>
            </a:r>
            <a:endParaRPr lang="en-US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1.1580976235838541E-2"/>
              <c:y val="1.8821561919982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3.9021543626843597E-2"/>
              <c:y val="-2.765375549905403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3124025740437266E-2"/>
              <c:y val="-4.258848428660578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1.5101944744216618E-2"/>
              <c:y val="-1.8885265287416607E-3"/>
            </c:manualLayout>
          </c:layout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ED0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chemeClr val="accent5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ED0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solidFill>
            <a:schemeClr val="accent5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Dashboard!$W$16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ED0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F-4EFE-9DEA-D5829CE97095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F-4EFE-9DEA-D5829CE97095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F-4EFE-9DEA-D5829CE9709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F-4EFE-9DEA-D5829CE9709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F9F-4841-945C-8A5148D20E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Dashboard!$V$17:$V$22</c:f>
              <c:strCache>
                <c:ptCount val="5"/>
                <c:pt idx="0">
                  <c:v>Furado</c:v>
                </c:pt>
                <c:pt idx="1">
                  <c:v>Garantia</c:v>
                </c:pt>
                <c:pt idx="2">
                  <c:v>Infiltração</c:v>
                </c:pt>
                <c:pt idx="3">
                  <c:v>Liso</c:v>
                </c:pt>
                <c:pt idx="4">
                  <c:v>Desg. Irregular</c:v>
                </c:pt>
              </c:strCache>
            </c:strRef>
          </c:cat>
          <c:val>
            <c:numRef>
              <c:f>Dashboard!$W$17:$W$22</c:f>
              <c:numCache>
                <c:formatCode>General</c:formatCode>
                <c:ptCount val="5"/>
                <c:pt idx="0">
                  <c:v>22</c:v>
                </c:pt>
                <c:pt idx="1">
                  <c:v>1</c:v>
                </c:pt>
                <c:pt idx="2">
                  <c:v>28</c:v>
                </c:pt>
                <c:pt idx="3">
                  <c:v>112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BF-4EFE-9DEA-D5829CE9709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de Pneus.xlsm]Dashboard!Tabela dinâmica4</c:name>
    <c:fmtId val="3"/>
  </c:pivotSource>
  <c:chart>
    <c:autoTitleDeleted val="1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189079033463948E-2"/>
          <c:y val="0.22517471030406913"/>
          <c:w val="0.8683533767318633"/>
          <c:h val="0.685505297239304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Dashboard!$W$7</c:f>
              <c:strCache>
                <c:ptCount val="1"/>
                <c:pt idx="0">
                  <c:v>Km 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Dashboard!$V$8:$V$13</c:f>
              <c:strCache>
                <c:ptCount val="5"/>
                <c:pt idx="0">
                  <c:v>BusPlus</c:v>
                </c:pt>
                <c:pt idx="1">
                  <c:v>DVR-M</c:v>
                </c:pt>
                <c:pt idx="2">
                  <c:v>G665</c:v>
                </c:pt>
                <c:pt idx="3">
                  <c:v>MC01</c:v>
                </c:pt>
                <c:pt idx="4">
                  <c:v>X-Incity</c:v>
                </c:pt>
              </c:strCache>
            </c:strRef>
          </c:cat>
          <c:val>
            <c:numRef>
              <c:f>Dashboard!$W$8:$W$13</c:f>
              <c:numCache>
                <c:formatCode>0</c:formatCode>
                <c:ptCount val="5"/>
                <c:pt idx="0">
                  <c:v>101742.625</c:v>
                </c:pt>
                <c:pt idx="1">
                  <c:v>84745.460317460311</c:v>
                </c:pt>
                <c:pt idx="2">
                  <c:v>84569.625</c:v>
                </c:pt>
                <c:pt idx="3">
                  <c:v>119271</c:v>
                </c:pt>
                <c:pt idx="4">
                  <c:v>117096.54166666667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6F-4ADD-8CA2-36430FB9726C}"/>
            </c:ext>
          </c:extLst>
        </c:ser>
        <c:ser>
          <c:idx val="1"/>
          <c:order val="1"/>
          <c:tx>
            <c:strRef>
              <c:f>Dashboard!$X$7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Dashboard!$V$8:$V$13</c:f>
              <c:strCache>
                <c:ptCount val="5"/>
                <c:pt idx="0">
                  <c:v>BusPlus</c:v>
                </c:pt>
                <c:pt idx="1">
                  <c:v>DVR-M</c:v>
                </c:pt>
                <c:pt idx="2">
                  <c:v>G665</c:v>
                </c:pt>
                <c:pt idx="3">
                  <c:v>MC01</c:v>
                </c:pt>
                <c:pt idx="4">
                  <c:v>X-Incity</c:v>
                </c:pt>
              </c:strCache>
            </c:strRef>
          </c:cat>
          <c:val>
            <c:numRef>
              <c:f>Dashboard!$X$8:$X$13</c:f>
              <c:numCache>
                <c:formatCode>0</c:formatCode>
                <c:ptCount val="5"/>
                <c:pt idx="0">
                  <c:v>8</c:v>
                </c:pt>
                <c:pt idx="1">
                  <c:v>63</c:v>
                </c:pt>
                <c:pt idx="2">
                  <c:v>16</c:v>
                </c:pt>
                <c:pt idx="3">
                  <c:v>1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6F-4ADD-8CA2-36430FB972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7549264"/>
        <c:axId val="327558120"/>
      </c:barChart>
      <c:catAx>
        <c:axId val="32754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558120"/>
        <c:crosses val="autoZero"/>
        <c:auto val="1"/>
        <c:lblAlgn val="ctr"/>
        <c:lblOffset val="100"/>
        <c:noMultiLvlLbl val="0"/>
      </c:catAx>
      <c:valAx>
        <c:axId val="32755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54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5254278271425"/>
          <c:y val="5.6106672797287198E-2"/>
          <c:w val="0.49070899090128267"/>
          <c:h val="0.138686897714428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de Pneus.xlsm]Dashboard!Tabela dinâmica8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3.7631452318460192E-2"/>
              <c:y val="-8.88812335958005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-9.021981627296588E-3"/>
              <c:y val="-1.7807669874599009E-2"/>
            </c:manualLayout>
          </c:layout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8906496062992126E-2"/>
              <c:y val="-5.53966170895304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600535870516186E-2"/>
              <c:y val="-3.175853018372703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8.9651137357830268E-3"/>
              <c:y val="-3.5757509477981919E-3"/>
            </c:manualLayout>
          </c:layout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5521436813564592E-2"/>
              <c:y val="1.01478651802188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600535870516186E-2"/>
              <c:y val="-3.175853018372703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2.8906496062992126E-2"/>
              <c:y val="-5.53966170895304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2448059596195121E-2"/>
              <c:y val="-0.1454065623343216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Dashboard!$AP$17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AA8-4C2B-8AC6-704DC12DD63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AA8-4C2B-8AC6-704DC12DD630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AA8-4C2B-8AC6-704DC12DD630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AA8-4C2B-8AC6-704DC12DD630}"/>
              </c:ext>
            </c:extLst>
          </c:dPt>
          <c:dLbls>
            <c:dLbl>
              <c:idx val="0"/>
              <c:layout>
                <c:manualLayout>
                  <c:x val="-1.5521436813564592E-2"/>
                  <c:y val="1.014786518021881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A8-4C2B-8AC6-704DC12DD630}"/>
                </c:ext>
              </c:extLst>
            </c:dLbl>
            <c:dLbl>
              <c:idx val="1"/>
              <c:layout>
                <c:manualLayout>
                  <c:x val="6.600535870516186E-2"/>
                  <c:y val="-3.175853018372703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A8-4C2B-8AC6-704DC12DD630}"/>
                </c:ext>
              </c:extLst>
            </c:dLbl>
            <c:dLbl>
              <c:idx val="2"/>
              <c:layout>
                <c:manualLayout>
                  <c:x val="2.8906496062992126E-2"/>
                  <c:y val="-5.539661708953047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A8-4C2B-8AC6-704DC12DD630}"/>
                </c:ext>
              </c:extLst>
            </c:dLbl>
            <c:dLbl>
              <c:idx val="3"/>
              <c:layout>
                <c:manualLayout>
                  <c:x val="6.2448059596195121E-2"/>
                  <c:y val="-0.14540656233432167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A8-4C2B-8AC6-704DC12DD6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Dashboard!$AO$18:$AO$22</c:f>
              <c:strCache>
                <c:ptCount val="4"/>
                <c:pt idx="0">
                  <c:v>Corte lateral</c:v>
                </c:pt>
                <c:pt idx="1">
                  <c:v>Furado</c:v>
                </c:pt>
                <c:pt idx="2">
                  <c:v>Infiltração</c:v>
                </c:pt>
                <c:pt idx="3">
                  <c:v>Liso</c:v>
                </c:pt>
              </c:strCache>
            </c:strRef>
          </c:cat>
          <c:val>
            <c:numRef>
              <c:f>Dashboard!$AP$18:$AP$22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28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A8-4C2B-8AC6-704DC12DD63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de Pneus.xlsm]Dashboard!Tabela dinâmica7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613648293963256"/>
          <c:y val="0.1821138211382114"/>
          <c:w val="0.80485892388451441"/>
          <c:h val="0.74244465783240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Dashboard!$AP$6</c:f>
              <c:strCache>
                <c:ptCount val="1"/>
                <c:pt idx="0">
                  <c:v>Km 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Dashboard!$AO$7:$AO$11</c:f>
              <c:strCache>
                <c:ptCount val="4"/>
                <c:pt idx="0">
                  <c:v>DVR-M</c:v>
                </c:pt>
                <c:pt idx="1">
                  <c:v>G600</c:v>
                </c:pt>
                <c:pt idx="2">
                  <c:v>G665</c:v>
                </c:pt>
                <c:pt idx="3">
                  <c:v>VL-110L</c:v>
                </c:pt>
              </c:strCache>
            </c:strRef>
          </c:cat>
          <c:val>
            <c:numRef>
              <c:f>Dashboard!$AP$7:$AP$11</c:f>
              <c:numCache>
                <c:formatCode>0</c:formatCode>
                <c:ptCount val="4"/>
                <c:pt idx="0">
                  <c:v>91873</c:v>
                </c:pt>
                <c:pt idx="1">
                  <c:v>62278.333333333336</c:v>
                </c:pt>
                <c:pt idx="2">
                  <c:v>45948</c:v>
                </c:pt>
                <c:pt idx="3">
                  <c:v>50917.5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35-4817-B591-8D5D8E7B8820}"/>
            </c:ext>
          </c:extLst>
        </c:ser>
        <c:ser>
          <c:idx val="1"/>
          <c:order val="1"/>
          <c:tx>
            <c:strRef>
              <c:f>Dashboard!$AQ$6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Dashboard!$AO$7:$AO$11</c:f>
              <c:strCache>
                <c:ptCount val="4"/>
                <c:pt idx="0">
                  <c:v>DVR-M</c:v>
                </c:pt>
                <c:pt idx="1">
                  <c:v>G600</c:v>
                </c:pt>
                <c:pt idx="2">
                  <c:v>G665</c:v>
                </c:pt>
                <c:pt idx="3">
                  <c:v>VL-110L</c:v>
                </c:pt>
              </c:strCache>
            </c:strRef>
          </c:cat>
          <c:val>
            <c:numRef>
              <c:f>Dashboard!$AQ$7:$AQ$11</c:f>
              <c:numCache>
                <c:formatCode>0</c:formatCode>
                <c:ptCount val="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5-4817-B591-8D5D8E7B88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9205288"/>
        <c:axId val="879205944"/>
      </c:barChart>
      <c:catAx>
        <c:axId val="879205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9205944"/>
        <c:crosses val="autoZero"/>
        <c:auto val="1"/>
        <c:lblAlgn val="ctr"/>
        <c:lblOffset val="100"/>
        <c:noMultiLvlLbl val="0"/>
      </c:catAx>
      <c:valAx>
        <c:axId val="87920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9205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599540682414702"/>
          <c:y val="3.2113437039882176E-2"/>
          <c:w val="0.53067125984251973"/>
          <c:h val="0.10975686575763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2</xdr:row>
          <xdr:rowOff>104775</xdr:rowOff>
        </xdr:from>
        <xdr:to>
          <xdr:col>3</xdr:col>
          <xdr:colOff>485775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95250</xdr:rowOff>
        </xdr:from>
        <xdr:to>
          <xdr:col>5</xdr:col>
          <xdr:colOff>447675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552450</xdr:colOff>
          <xdr:row>2</xdr:row>
          <xdr:rowOff>85725</xdr:rowOff>
        </xdr:from>
        <xdr:to>
          <xdr:col>7</xdr:col>
          <xdr:colOff>619125</xdr:colOff>
          <xdr:row>3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Pneu Novo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76200</xdr:rowOff>
        </xdr:from>
        <xdr:to>
          <xdr:col>9</xdr:col>
          <xdr:colOff>114300</xdr:colOff>
          <xdr:row>3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3</xdr:row>
      <xdr:rowOff>9525</xdr:rowOff>
    </xdr:from>
    <xdr:to>
      <xdr:col>12</xdr:col>
      <xdr:colOff>323850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3</xdr:row>
      <xdr:rowOff>9525</xdr:rowOff>
    </xdr:from>
    <xdr:to>
      <xdr:col>19</xdr:col>
      <xdr:colOff>581025</xdr:colOff>
      <xdr:row>22</xdr:row>
      <xdr:rowOff>180975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9525</xdr:colOff>
      <xdr:row>2</xdr:row>
      <xdr:rowOff>23811</xdr:rowOff>
    </xdr:from>
    <xdr:to>
      <xdr:col>31</xdr:col>
      <xdr:colOff>295275</xdr:colOff>
      <xdr:row>22</xdr:row>
      <xdr:rowOff>66675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247650</xdr:colOff>
      <xdr:row>2</xdr:row>
      <xdr:rowOff>19050</xdr:rowOff>
    </xdr:from>
    <xdr:to>
      <xdr:col>38</xdr:col>
      <xdr:colOff>333375</xdr:colOff>
      <xdr:row>22</xdr:row>
      <xdr:rowOff>47625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43</xdr:col>
      <xdr:colOff>66675</xdr:colOff>
      <xdr:row>2</xdr:row>
      <xdr:rowOff>123825</xdr:rowOff>
    </xdr:from>
    <xdr:to>
      <xdr:col>48</xdr:col>
      <xdr:colOff>419100</xdr:colOff>
      <xdr:row>22</xdr:row>
      <xdr:rowOff>19050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48</xdr:col>
      <xdr:colOff>342899</xdr:colOff>
      <xdr:row>2</xdr:row>
      <xdr:rowOff>57150</xdr:rowOff>
    </xdr:from>
    <xdr:to>
      <xdr:col>54</xdr:col>
      <xdr:colOff>457200</xdr:colOff>
      <xdr:row>22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0</xdr:col>
          <xdr:colOff>533400</xdr:colOff>
          <xdr:row>1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0</xdr:row>
          <xdr:rowOff>66675</xdr:rowOff>
        </xdr:from>
        <xdr:to>
          <xdr:col>20</xdr:col>
          <xdr:colOff>542925</xdr:colOff>
          <xdr:row>1</xdr:row>
          <xdr:rowOff>57150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66675</xdr:colOff>
          <xdr:row>0</xdr:row>
          <xdr:rowOff>66675</xdr:rowOff>
        </xdr:from>
        <xdr:to>
          <xdr:col>39</xdr:col>
          <xdr:colOff>533400</xdr:colOff>
          <xdr:row>1</xdr:row>
          <xdr:rowOff>47625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19</xdr:row>
          <xdr:rowOff>171450</xdr:rowOff>
        </xdr:from>
        <xdr:to>
          <xdr:col>0</xdr:col>
          <xdr:colOff>504825</xdr:colOff>
          <xdr:row>22</xdr:row>
          <xdr:rowOff>66675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 Todas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ato Alves" refreshedDate="44881.460931365742" createdVersion="8" refreshedVersion="8" minRefreshableVersion="3" recordCount="595" xr:uid="{11DF3B86-9578-421E-8626-4966D1A5F78E}">
  <cacheSource type="worksheet">
    <worksheetSource name="DadosBruto"/>
  </cacheSource>
  <cacheFields count="15">
    <cacheField name="Nº DE FOGO" numFmtId="0">
      <sharedItems containsString="0" containsBlank="1" containsNumber="1" containsInteger="1" minValue="6727" maxValue="15429"/>
    </cacheField>
    <cacheField name="MARCA" numFmtId="0">
      <sharedItems containsBlank="1"/>
    </cacheField>
    <cacheField name="  Banda" numFmtId="0">
      <sharedItems containsBlank="1"/>
    </cacheField>
    <cacheField name="  DOT" numFmtId="49">
      <sharedItems containsBlank="1" containsMixedTypes="1" containsNumber="1" containsInteger="1" minValue="218" maxValue="5121"/>
    </cacheField>
    <cacheField name="NOVO" numFmtId="0">
      <sharedItems containsString="0" containsBlank="1" containsNumber="1" containsInteger="1" minValue="5765" maxValue="159165"/>
    </cacheField>
    <cacheField name="SAÍDA 1ª" numFmtId="0">
      <sharedItems containsBlank="1"/>
    </cacheField>
    <cacheField name="R1" numFmtId="0">
      <sharedItems containsString="0" containsBlank="1" containsNumber="1" containsInteger="1" minValue="2620" maxValue="142305"/>
    </cacheField>
    <cacheField name="Mod" numFmtId="0">
      <sharedItems containsBlank="1" count="7">
        <s v="DVR-M"/>
        <s v="G665"/>
        <m/>
        <s v="MC01"/>
        <s v="BusPlus"/>
        <s v="X-Incity"/>
        <s v="DV-UM"/>
      </sharedItems>
    </cacheField>
    <cacheField name="SAÍDA 2ª" numFmtId="0">
      <sharedItems containsBlank="1" count="7">
        <s v="Liso"/>
        <m/>
        <s v="Infiltração"/>
        <s v="Furado"/>
        <s v="s/ dados"/>
        <s v="Garantia"/>
        <s v="Desg. Irregular"/>
      </sharedItems>
    </cacheField>
    <cacheField name="R2" numFmtId="0">
      <sharedItems containsString="0" containsBlank="1" containsNumber="1" containsInteger="1" minValue="3422" maxValue="102407"/>
    </cacheField>
    <cacheField name="Mod2" numFmtId="0">
      <sharedItems containsBlank="1"/>
    </cacheField>
    <cacheField name="SAÍDA 3ª" numFmtId="0">
      <sharedItems containsBlank="1"/>
    </cacheField>
    <cacheField name="Status" numFmtId="0">
      <sharedItems containsBlank="1" containsMixedTypes="1" containsNumber="1" containsInteger="1" minValue="103" maxValue="19060"/>
    </cacheField>
    <cacheField name="KM TOTAL" numFmtId="0">
      <sharedItems containsString="0" containsBlank="1" containsNumber="1" containsInteger="1" minValue="0" maxValue="299281"/>
    </cacheField>
    <cacheField name="Valor de Compra" numFmtId="0">
      <sharedItems containsString="0" containsBlank="1" containsNumber="1" minValue="1117" maxValue="33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ato Alves" refreshedDate="44881.460931481481" createdVersion="8" refreshedVersion="8" minRefreshableVersion="3" recordCount="595" xr:uid="{37535298-4104-4F35-B4B2-3D7975026F9B}">
  <cacheSource type="worksheet">
    <worksheetSource name="DadosBruto"/>
  </cacheSource>
  <cacheFields count="15">
    <cacheField name="Nº DE FOGO" numFmtId="0">
      <sharedItems containsString="0" containsBlank="1" containsNumber="1" containsInteger="1" minValue="6727" maxValue="15429"/>
    </cacheField>
    <cacheField name="MARCA" numFmtId="0">
      <sharedItems containsBlank="1" count="6">
        <s v="Goodyear"/>
        <s v="Pirelli"/>
        <s v="Michelin"/>
        <s v="Bridgestone"/>
        <s v="FateCargo"/>
        <m/>
      </sharedItems>
    </cacheField>
    <cacheField name="  Banda" numFmtId="0">
      <sharedItems containsBlank="1" count="8">
        <s v="G665"/>
        <s v="MC01"/>
        <s v="FR01"/>
        <s v="X-incity"/>
        <s v="R163"/>
        <s v="CityMax"/>
        <s v="SR-260"/>
        <m/>
      </sharedItems>
    </cacheField>
    <cacheField name="  DOT" numFmtId="49">
      <sharedItems containsBlank="1" containsMixedTypes="1" containsNumber="1" containsInteger="1" minValue="218" maxValue="5121" count="88">
        <n v="4314"/>
        <s v="4314"/>
        <n v="515"/>
        <n v="1115"/>
        <n v="1615"/>
        <n v="3315"/>
        <n v="3215"/>
        <n v="3915"/>
        <n v="2715"/>
        <n v="4015"/>
        <n v="4115"/>
        <n v="4215"/>
        <n v="2515"/>
        <n v="2615"/>
        <n v="2315"/>
        <n v="4415"/>
        <n v="4515"/>
        <n v="1116"/>
        <n v="616"/>
        <n v="716"/>
        <n v="1016"/>
        <n v="1316"/>
        <n v="3116"/>
        <n v="3016"/>
        <n v="2916"/>
        <n v="2716"/>
        <n v="416"/>
        <n v="4516"/>
        <n v="4616"/>
        <n v="3115"/>
        <n v="3316"/>
        <n v="2115"/>
        <n v="2017"/>
        <n v="1917"/>
        <n v="2717"/>
        <n v="3717"/>
        <n v="318"/>
        <n v="818"/>
        <n v="3217"/>
        <n v="218"/>
        <n v="1018"/>
        <n v="1318"/>
        <n v="1118"/>
        <n v="1418"/>
        <n v="1918"/>
        <n v="2718"/>
        <n v="3318"/>
        <n v="3118"/>
        <n v="3918"/>
        <n v="3818"/>
        <n v="2918"/>
        <n v="519"/>
        <n v="1419"/>
        <n v="1219"/>
        <n v="2219"/>
        <n v="2319"/>
        <n v="919"/>
        <n v="219"/>
        <n v="619"/>
        <n v="1319"/>
        <n v="1519"/>
        <n v="819"/>
        <n v="719"/>
        <n v="1619"/>
        <n v="3419"/>
        <n v="4219"/>
        <n v="1020"/>
        <n v="4820"/>
        <n v="4920"/>
        <n v="1021"/>
        <s v="0621"/>
        <s v="0821"/>
        <n v="2721"/>
        <n v="2621"/>
        <n v="3621"/>
        <s v="0921"/>
        <n v="2221"/>
        <n v="5121"/>
        <s v="0222"/>
        <s v="0322"/>
        <s v="0922"/>
        <s v="2022"/>
        <s v="1122"/>
        <s v="2322"/>
        <s v="2422"/>
        <s v="5121"/>
        <s v="4222"/>
        <m/>
      </sharedItems>
    </cacheField>
    <cacheField name="NOVO" numFmtId="0">
      <sharedItems containsString="0" containsBlank="1" containsNumber="1" containsInteger="1" minValue="5765" maxValue="159165"/>
    </cacheField>
    <cacheField name="SAÍDA 1ª" numFmtId="0">
      <sharedItems containsBlank="1"/>
    </cacheField>
    <cacheField name="R1" numFmtId="0">
      <sharedItems containsString="0" containsBlank="1" containsNumber="1" containsInteger="1" minValue="2620" maxValue="142305"/>
    </cacheField>
    <cacheField name="Mod" numFmtId="0">
      <sharedItems containsBlank="1"/>
    </cacheField>
    <cacheField name="SAÍDA 2ª" numFmtId="0">
      <sharedItems containsBlank="1" count="7">
        <s v="Liso"/>
        <m/>
        <s v="Infiltração"/>
        <s v="Furado"/>
        <s v="s/ dados"/>
        <s v="Garantia"/>
        <s v="Desg. Irregular"/>
      </sharedItems>
    </cacheField>
    <cacheField name="R2" numFmtId="0">
      <sharedItems containsString="0" containsBlank="1" containsNumber="1" containsInteger="1" minValue="3422" maxValue="102407"/>
    </cacheField>
    <cacheField name="Mod2" numFmtId="0">
      <sharedItems containsBlank="1"/>
    </cacheField>
    <cacheField name="SAÍDA 3ª" numFmtId="0">
      <sharedItems containsBlank="1"/>
    </cacheField>
    <cacheField name="Status" numFmtId="0">
      <sharedItems containsBlank="1" containsMixedTypes="1" containsNumber="1" containsInteger="1" minValue="103" maxValue="19060"/>
    </cacheField>
    <cacheField name="KM TOTAL" numFmtId="0">
      <sharedItems containsString="0" containsBlank="1" containsNumber="1" containsInteger="1" minValue="0" maxValue="299281"/>
    </cacheField>
    <cacheField name="Valor de Compra" numFmtId="0">
      <sharedItems containsString="0" containsBlank="1" containsNumber="1" minValue="1117" maxValue="3358" count="20">
        <n v="1117"/>
        <n v="1240"/>
        <n v="1280"/>
        <n v="1701"/>
        <n v="1603"/>
        <n v="1586"/>
        <n v="1617"/>
        <n v="1706"/>
        <n v="1454"/>
        <n v="1635"/>
        <n v="1766"/>
        <n v="2191"/>
        <n v="2496"/>
        <n v="2451"/>
        <n v="2767"/>
        <n v="2933"/>
        <n v="1143.8699999999999"/>
        <n v="3358"/>
        <n v="29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ato Alves" refreshedDate="44881.460931597219" createdVersion="8" refreshedVersion="8" minRefreshableVersion="3" recordCount="595" xr:uid="{572BDB7C-A7D1-4416-A290-ED06D6CD518E}">
  <cacheSource type="worksheet">
    <worksheetSource name="DadosBruto"/>
  </cacheSource>
  <cacheFields count="15">
    <cacheField name="Nº DE FOGO" numFmtId="0">
      <sharedItems containsString="0" containsBlank="1" containsNumber="1" containsInteger="1" minValue="6727" maxValue="15429"/>
    </cacheField>
    <cacheField name="MARCA" numFmtId="0">
      <sharedItems containsBlank="1"/>
    </cacheField>
    <cacheField name="  Banda" numFmtId="0">
      <sharedItems containsBlank="1"/>
    </cacheField>
    <cacheField name="  DOT" numFmtId="49">
      <sharedItems containsBlank="1" containsMixedTypes="1" containsNumber="1" containsInteger="1" minValue="218" maxValue="5121"/>
    </cacheField>
    <cacheField name="NOVO" numFmtId="0">
      <sharedItems containsString="0" containsBlank="1" containsNumber="1" containsInteger="1" minValue="5765" maxValue="159165"/>
    </cacheField>
    <cacheField name="SAÍDA 1ª" numFmtId="0">
      <sharedItems containsBlank="1"/>
    </cacheField>
    <cacheField name="R1" numFmtId="0">
      <sharedItems containsString="0" containsBlank="1" containsNumber="1" containsInteger="1" minValue="2620" maxValue="142305"/>
    </cacheField>
    <cacheField name="Mod" numFmtId="0">
      <sharedItems containsBlank="1"/>
    </cacheField>
    <cacheField name="SAÍDA 2ª" numFmtId="0">
      <sharedItems containsBlank="1"/>
    </cacheField>
    <cacheField name="R2" numFmtId="0">
      <sharedItems containsString="0" containsBlank="1" containsNumber="1" containsInteger="1" minValue="3422" maxValue="102407"/>
    </cacheField>
    <cacheField name="Mod2" numFmtId="0">
      <sharedItems containsBlank="1" count="6">
        <s v="VL-110L"/>
        <m/>
        <s v="G600"/>
        <s v="G665"/>
        <s v="DVR-M"/>
        <s v="X-Incity"/>
      </sharedItems>
    </cacheField>
    <cacheField name="SAÍDA 3ª" numFmtId="0">
      <sharedItems containsBlank="1" count="6">
        <s v="Furado"/>
        <m/>
        <s v="Liso"/>
        <s v="Infiltração"/>
        <s v="s/ dados"/>
        <s v="Corte lateral"/>
      </sharedItems>
    </cacheField>
    <cacheField name="Status" numFmtId="0">
      <sharedItems containsBlank="1" containsMixedTypes="1" containsNumber="1" containsInteger="1" minValue="103" maxValue="19060"/>
    </cacheField>
    <cacheField name="KM TOTAL" numFmtId="0">
      <sharedItems containsString="0" containsBlank="1" containsNumber="1" containsInteger="1" minValue="0" maxValue="299281"/>
    </cacheField>
    <cacheField name="Valor de Compra" numFmtId="0">
      <sharedItems containsString="0" containsBlank="1" containsNumber="1" minValue="1117" maxValue="33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nato Alves" refreshedDate="44881.460931712965" createdVersion="8" refreshedVersion="8" minRefreshableVersion="3" recordCount="595" xr:uid="{74BE56C7-215C-4A55-A945-CDBF495F63C3}">
  <cacheSource type="worksheet">
    <worksheetSource name="DadosBruto"/>
  </cacheSource>
  <cacheFields count="15">
    <cacheField name="Nº DE FOGO" numFmtId="0">
      <sharedItems containsString="0" containsBlank="1" containsNumber="1" containsInteger="1" minValue="6727" maxValue="15429"/>
    </cacheField>
    <cacheField name="MARCA" numFmtId="0">
      <sharedItems containsBlank="1"/>
    </cacheField>
    <cacheField name="  Banda" numFmtId="0">
      <sharedItems containsBlank="1" count="8">
        <s v="G665"/>
        <s v="MC01"/>
        <s v="FR01"/>
        <s v="X-incity"/>
        <s v="R163"/>
        <s v="CityMax"/>
        <s v="SR-260"/>
        <m/>
      </sharedItems>
    </cacheField>
    <cacheField name="  DOT" numFmtId="49">
      <sharedItems containsBlank="1" containsMixedTypes="1" containsNumber="1" containsInteger="1" minValue="218" maxValue="5121"/>
    </cacheField>
    <cacheField name="NOVO" numFmtId="0">
      <sharedItems containsString="0" containsBlank="1" containsNumber="1" containsInteger="1" minValue="5765" maxValue="159165"/>
    </cacheField>
    <cacheField name="SAÍDA 1ª" numFmtId="0">
      <sharedItems containsBlank="1" count="7">
        <s v="Liso"/>
        <s v="s/ dados"/>
        <s v="Desg. Irregular"/>
        <s v="Furado"/>
        <s v="Infiltração"/>
        <s v="Corte na banda"/>
        <m/>
      </sharedItems>
    </cacheField>
    <cacheField name="R1" numFmtId="0">
      <sharedItems containsString="0" containsBlank="1" containsNumber="1" containsInteger="1" minValue="2620" maxValue="142305"/>
    </cacheField>
    <cacheField name="Mod" numFmtId="0">
      <sharedItems containsBlank="1"/>
    </cacheField>
    <cacheField name="SAÍDA 2ª" numFmtId="0">
      <sharedItems containsBlank="1"/>
    </cacheField>
    <cacheField name="R2" numFmtId="0">
      <sharedItems containsString="0" containsBlank="1" containsNumber="1" containsInteger="1" minValue="3422" maxValue="102407"/>
    </cacheField>
    <cacheField name="Mod2" numFmtId="0">
      <sharedItems containsBlank="1"/>
    </cacheField>
    <cacheField name="SAÍDA 3ª" numFmtId="0">
      <sharedItems containsBlank="1"/>
    </cacheField>
    <cacheField name="Status" numFmtId="0">
      <sharedItems containsBlank="1" containsMixedTypes="1" containsNumber="1" containsInteger="1" minValue="103" maxValue="19060"/>
    </cacheField>
    <cacheField name="KM TOTAL" numFmtId="0">
      <sharedItems containsString="0" containsBlank="1" containsNumber="1" containsInteger="1" minValue="0" maxValue="299281"/>
    </cacheField>
    <cacheField name="Valor de Compra" numFmtId="0">
      <sharedItems containsString="0" containsBlank="1" containsNumber="1" minValue="1117" maxValue="3358"/>
    </cacheField>
  </cacheFields>
  <extLst>
    <ext xmlns:x14="http://schemas.microsoft.com/office/spreadsheetml/2009/9/main" uri="{725AE2AE-9491-48be-B2B4-4EB974FC3084}">
      <x14:pivotCacheDefinition pivotCacheId="123883485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5">
  <r>
    <n v="6727"/>
    <s v="Goodyear"/>
    <s v="G665"/>
    <n v="4314"/>
    <n v="109911"/>
    <s v="Liso"/>
    <n v="104638"/>
    <x v="0"/>
    <x v="0"/>
    <n v="29183"/>
    <s v="VL-110L"/>
    <s v="Furado"/>
    <s v="Sucata"/>
    <n v="243732"/>
    <n v="1117"/>
  </r>
  <r>
    <n v="6728"/>
    <s v="Goodyear"/>
    <s v="G665"/>
    <n v="4314"/>
    <n v="64188"/>
    <s v="Liso"/>
    <n v="107259"/>
    <x v="1"/>
    <x v="0"/>
    <m/>
    <m/>
    <m/>
    <s v="Sucata"/>
    <n v="171447"/>
    <n v="1117"/>
  </r>
  <r>
    <n v="6729"/>
    <s v="Goodyear"/>
    <s v="G665"/>
    <n v="4314"/>
    <n v="83250"/>
    <s v="s/ dados"/>
    <m/>
    <x v="2"/>
    <x v="1"/>
    <m/>
    <m/>
    <m/>
    <m/>
    <n v="83250"/>
    <n v="1117"/>
  </r>
  <r>
    <n v="6730"/>
    <s v="Goodyear"/>
    <s v="G665"/>
    <n v="4314"/>
    <n v="81348"/>
    <s v="Liso"/>
    <n v="80912"/>
    <x v="1"/>
    <x v="2"/>
    <m/>
    <m/>
    <m/>
    <s v="Sucata"/>
    <n v="162260"/>
    <n v="1117"/>
  </r>
  <r>
    <n v="6731"/>
    <s v="Goodyear"/>
    <s v="G665"/>
    <n v="4314"/>
    <n v="122781"/>
    <s v="s/ dados"/>
    <m/>
    <x v="2"/>
    <x v="1"/>
    <m/>
    <m/>
    <m/>
    <m/>
    <n v="122781"/>
    <n v="1117"/>
  </r>
  <r>
    <n v="6732"/>
    <s v="Goodyear"/>
    <s v="G665"/>
    <s v="4314"/>
    <n v="77296"/>
    <s v="Liso"/>
    <n v="77760"/>
    <x v="0"/>
    <x v="0"/>
    <n v="75993"/>
    <s v="G600"/>
    <s v="Liso"/>
    <s v="Sucata"/>
    <n v="231049"/>
    <n v="1117"/>
  </r>
  <r>
    <n v="6733"/>
    <s v="Goodyear"/>
    <s v="G665"/>
    <n v="4314"/>
    <n v="71467"/>
    <s v="Liso"/>
    <n v="91077"/>
    <x v="1"/>
    <x v="0"/>
    <n v="20694"/>
    <s v="G665"/>
    <s v="Infiltração"/>
    <s v="Sucata"/>
    <n v="183238"/>
    <n v="1117"/>
  </r>
  <r>
    <n v="6734"/>
    <s v="Goodyear"/>
    <s v="G665"/>
    <n v="4314"/>
    <n v="75316"/>
    <s v="Liso"/>
    <n v="95016"/>
    <x v="0"/>
    <x v="0"/>
    <n v="95633"/>
    <s v="DVR-M"/>
    <s v="Infiltração"/>
    <s v="Sucata"/>
    <n v="265965"/>
    <n v="1117"/>
  </r>
  <r>
    <n v="6735"/>
    <s v="Goodyear"/>
    <s v="G665"/>
    <n v="4314"/>
    <n v="90226"/>
    <s v="Liso"/>
    <n v="51249"/>
    <x v="1"/>
    <x v="2"/>
    <m/>
    <m/>
    <m/>
    <s v="Sucata"/>
    <n v="141475"/>
    <n v="1117"/>
  </r>
  <r>
    <n v="6752"/>
    <s v="Goodyear"/>
    <s v="G665"/>
    <n v="515"/>
    <n v="62257"/>
    <s v="Desg. Irregular"/>
    <n v="119271"/>
    <x v="1"/>
    <x v="0"/>
    <n v="29668"/>
    <s v="G665"/>
    <s v="Infiltração"/>
    <s v="Sucata"/>
    <n v="211196"/>
    <n v="1117"/>
  </r>
  <r>
    <n v="6753"/>
    <s v="Goodyear"/>
    <s v="G665"/>
    <n v="515"/>
    <n v="104492"/>
    <s v="Liso"/>
    <n v="79084"/>
    <x v="1"/>
    <x v="0"/>
    <n v="45948"/>
    <s v="G665"/>
    <s v="Liso"/>
    <s v="Sucata"/>
    <n v="229524"/>
    <n v="1117"/>
  </r>
  <r>
    <n v="6754"/>
    <s v="Goodyear"/>
    <s v="G665"/>
    <n v="515"/>
    <n v="80428"/>
    <s v="Desg. Irregular"/>
    <n v="95016"/>
    <x v="1"/>
    <x v="0"/>
    <m/>
    <m/>
    <m/>
    <s v="Sucata"/>
    <n v="175444"/>
    <n v="1117"/>
  </r>
  <r>
    <n v="6755"/>
    <s v="Goodyear"/>
    <s v="G665"/>
    <n v="515"/>
    <n v="107971"/>
    <s v="Liso"/>
    <n v="59027"/>
    <x v="0"/>
    <x v="0"/>
    <n v="46742"/>
    <s v="VL-110L"/>
    <s v="Liso"/>
    <s v="Sucata"/>
    <n v="213740"/>
    <n v="1117"/>
  </r>
  <r>
    <n v="6756"/>
    <s v="Goodyear"/>
    <s v="G665"/>
    <n v="515"/>
    <n v="104564"/>
    <s v="Liso"/>
    <n v="72481"/>
    <x v="1"/>
    <x v="0"/>
    <n v="35522"/>
    <s v="G665"/>
    <s v="Infiltração"/>
    <s v="Sucata"/>
    <n v="212567"/>
    <n v="1117"/>
  </r>
  <r>
    <n v="6757"/>
    <s v="Goodyear"/>
    <s v="G665"/>
    <n v="515"/>
    <n v="94368"/>
    <s v="Liso"/>
    <n v="77456"/>
    <x v="0"/>
    <x v="0"/>
    <n v="19148"/>
    <s v="VL-110L"/>
    <s v="Infiltração"/>
    <s v="Sucata"/>
    <n v="190972"/>
    <n v="1117"/>
  </r>
  <r>
    <n v="6758"/>
    <s v="Goodyear"/>
    <s v="G665"/>
    <n v="515"/>
    <n v="78579"/>
    <s v="Liso"/>
    <n v="69492"/>
    <x v="0"/>
    <x v="3"/>
    <n v="86284"/>
    <s v="DVR-M"/>
    <s v="Liso"/>
    <s v="Sucata"/>
    <n v="234355"/>
    <n v="1117"/>
  </r>
  <r>
    <n v="6759"/>
    <s v="Goodyear"/>
    <s v="G665"/>
    <n v="515"/>
    <n v="79044"/>
    <s v="Liso"/>
    <n v="40043"/>
    <x v="1"/>
    <x v="0"/>
    <n v="18494"/>
    <s v="G665"/>
    <s v="Infiltração"/>
    <s v="Sucata"/>
    <n v="137581"/>
    <n v="1117"/>
  </r>
  <r>
    <n v="6760"/>
    <s v="Goodyear"/>
    <s v="G665"/>
    <n v="515"/>
    <n v="34644"/>
    <s v="Desg. Irregular"/>
    <n v="102700"/>
    <x v="1"/>
    <x v="0"/>
    <n v="33435"/>
    <s v="G665"/>
    <s v="Infiltração"/>
    <s v="Sucata"/>
    <n v="170779"/>
    <n v="1117"/>
  </r>
  <r>
    <n v="6761"/>
    <s v="Goodyear"/>
    <s v="G665"/>
    <n v="515"/>
    <n v="34644"/>
    <s v="Desg. Irregular"/>
    <n v="119271"/>
    <x v="3"/>
    <x v="0"/>
    <n v="47119"/>
    <s v="G600"/>
    <s v="Liso"/>
    <s v="Sucata"/>
    <n v="201034"/>
    <n v="1117"/>
  </r>
  <r>
    <n v="6770"/>
    <s v="Goodyear"/>
    <s v="G665"/>
    <n v="1115"/>
    <n v="64877"/>
    <s v="Liso"/>
    <n v="112190"/>
    <x v="0"/>
    <x v="0"/>
    <n v="48989"/>
    <s v="VL-110L"/>
    <s v="Infiltração"/>
    <s v="Sucata"/>
    <n v="226056"/>
    <n v="1117"/>
  </r>
  <r>
    <n v="6771"/>
    <s v="Goodyear"/>
    <s v="G665"/>
    <n v="1115"/>
    <n v="87085"/>
    <s v="Liso"/>
    <n v="78710"/>
    <x v="0"/>
    <x v="0"/>
    <n v="45567"/>
    <s v="VL-110L"/>
    <s v="Liso"/>
    <s v="Sucata"/>
    <n v="211362"/>
    <n v="1117"/>
  </r>
  <r>
    <n v="6772"/>
    <s v="Goodyear"/>
    <s v="G665"/>
    <n v="1115"/>
    <n v="64264"/>
    <s v="Liso"/>
    <n v="113377"/>
    <x v="0"/>
    <x v="0"/>
    <n v="53770"/>
    <s v="VL-110L"/>
    <s v="Liso"/>
    <s v="Sucata"/>
    <n v="231411"/>
    <n v="1117"/>
  </r>
  <r>
    <n v="6773"/>
    <s v="Goodyear"/>
    <s v="G665"/>
    <n v="1115"/>
    <n v="98579"/>
    <s v="Liso"/>
    <n v="76307"/>
    <x v="0"/>
    <x v="0"/>
    <n v="58167"/>
    <s v="VL-110L"/>
    <s v="Liso"/>
    <s v="Sucata"/>
    <n v="233053"/>
    <n v="1117"/>
  </r>
  <r>
    <n v="6774"/>
    <s v="Goodyear"/>
    <s v="G665"/>
    <n v="1115"/>
    <n v="98579"/>
    <s v="Liso"/>
    <n v="76307"/>
    <x v="0"/>
    <x v="0"/>
    <n v="58167"/>
    <s v="VL-110L"/>
    <s v="Liso"/>
    <s v="Sucata"/>
    <n v="233053"/>
    <n v="1117"/>
  </r>
  <r>
    <n v="6775"/>
    <s v="Goodyear"/>
    <s v="G665"/>
    <n v="1115"/>
    <n v="66643"/>
    <s v="Liso"/>
    <n v="113377"/>
    <x v="0"/>
    <x v="0"/>
    <n v="68344"/>
    <s v="VL-110L"/>
    <s v="Liso"/>
    <s v="Sucata"/>
    <n v="248364"/>
    <n v="1117"/>
  </r>
  <r>
    <n v="6776"/>
    <s v="Goodyear"/>
    <s v="G665"/>
    <n v="1115"/>
    <n v="66643"/>
    <s v="Liso"/>
    <n v="88331"/>
    <x v="0"/>
    <x v="0"/>
    <n v="56272"/>
    <s v="VL-110L"/>
    <s v="Infiltração"/>
    <s v="Sucata"/>
    <n v="211246"/>
    <n v="1117"/>
  </r>
  <r>
    <n v="6777"/>
    <s v="Goodyear"/>
    <s v="G665"/>
    <n v="1115"/>
    <n v="82560"/>
    <s v="Liso"/>
    <n v="79084"/>
    <x v="1"/>
    <x v="0"/>
    <n v="8125"/>
    <s v="G665"/>
    <s v="Furado"/>
    <s v="Sucata"/>
    <n v="169769"/>
    <n v="1117"/>
  </r>
  <r>
    <n v="6786"/>
    <s v="Goodyear"/>
    <s v="G665"/>
    <n v="1615"/>
    <n v="84006"/>
    <s v="Liso"/>
    <n v="86268"/>
    <x v="1"/>
    <x v="0"/>
    <n v="57228"/>
    <s v="VL-110L"/>
    <s v="Liso"/>
    <s v="Sucata"/>
    <n v="227502"/>
    <n v="1117"/>
  </r>
  <r>
    <n v="6787"/>
    <s v="Goodyear"/>
    <s v="G665"/>
    <n v="1615"/>
    <n v="49153"/>
    <s v="Liso"/>
    <n v="99647"/>
    <x v="0"/>
    <x v="0"/>
    <n v="60010"/>
    <s v="VL-110L"/>
    <s v="Liso"/>
    <s v="Sucata"/>
    <n v="208810"/>
    <n v="1117"/>
  </r>
  <r>
    <n v="6788"/>
    <s v="Goodyear"/>
    <s v="G665"/>
    <n v="1615"/>
    <n v="81023"/>
    <s v="Liso"/>
    <n v="77456"/>
    <x v="0"/>
    <x v="0"/>
    <n v="42754"/>
    <s v="VL-110L"/>
    <s v="Liso"/>
    <s v="Sucata"/>
    <n v="201233"/>
    <n v="1117"/>
  </r>
  <r>
    <n v="6789"/>
    <s v="Goodyear"/>
    <s v="G665"/>
    <n v="1615"/>
    <n v="107377"/>
    <s v="Liso"/>
    <n v="93124"/>
    <x v="1"/>
    <x v="0"/>
    <n v="37535"/>
    <s v="VL-110L"/>
    <s v="Furado"/>
    <s v="Sucata"/>
    <n v="238036"/>
    <n v="1117"/>
  </r>
  <r>
    <n v="6792"/>
    <s v="Goodyear"/>
    <s v="G665"/>
    <n v="1615"/>
    <n v="57492"/>
    <s v="Desg. Irregular"/>
    <n v="87528"/>
    <x v="0"/>
    <x v="0"/>
    <n v="63723"/>
    <s v="G600"/>
    <s v="Liso"/>
    <s v="Sucata"/>
    <n v="208743"/>
    <n v="1117"/>
  </r>
  <r>
    <n v="6793"/>
    <s v="Goodyear"/>
    <s v="G665"/>
    <n v="1615"/>
    <n v="62249"/>
    <s v="Furado"/>
    <n v="72481"/>
    <x v="0"/>
    <x v="0"/>
    <n v="97462"/>
    <s v="DVR-M"/>
    <s v="Liso"/>
    <s v="Sucata"/>
    <n v="232192"/>
    <n v="1117"/>
  </r>
  <r>
    <n v="6826"/>
    <s v="Goodyear"/>
    <s v="G665"/>
    <n v="3315"/>
    <n v="95009"/>
    <s v="Liso"/>
    <n v="90713"/>
    <x v="0"/>
    <x v="0"/>
    <m/>
    <m/>
    <m/>
    <s v="Sucata"/>
    <n v="185722"/>
    <n v="1117"/>
  </r>
  <r>
    <n v="6827"/>
    <s v="Goodyear"/>
    <s v="G665"/>
    <n v="3315"/>
    <n v="50337"/>
    <s v="Liso"/>
    <n v="65844"/>
    <x v="0"/>
    <x v="0"/>
    <n v="52787"/>
    <s v="VL-110L"/>
    <s v="Liso"/>
    <s v="Sucata"/>
    <n v="168968"/>
    <n v="1117"/>
  </r>
  <r>
    <n v="6828"/>
    <s v="Goodyear"/>
    <s v="G665"/>
    <n v="3315"/>
    <n v="64731"/>
    <s v="Liso"/>
    <n v="78314"/>
    <x v="0"/>
    <x v="0"/>
    <n v="42294"/>
    <s v="VL-110L"/>
    <s v="Liso"/>
    <s v="Sucata"/>
    <n v="185339"/>
    <n v="1117"/>
  </r>
  <r>
    <n v="6829"/>
    <s v="Goodyear"/>
    <s v="G665"/>
    <n v="3315"/>
    <n v="129606"/>
    <s v="Liso"/>
    <n v="84157"/>
    <x v="1"/>
    <x v="0"/>
    <n v="35768"/>
    <s v="VL-110L"/>
    <s v="Infiltração"/>
    <s v="Sucata"/>
    <n v="249531"/>
    <n v="1117"/>
  </r>
  <r>
    <n v="6830"/>
    <s v="Goodyear"/>
    <s v="G665"/>
    <n v="3315"/>
    <n v="96690"/>
    <s v="Liso"/>
    <n v="114425"/>
    <x v="0"/>
    <x v="0"/>
    <n v="48548"/>
    <s v="VL-110L"/>
    <s v="s/ dados"/>
    <m/>
    <n v="259663"/>
    <n v="1117"/>
  </r>
  <r>
    <n v="6831"/>
    <s v="Goodyear"/>
    <s v="G665"/>
    <n v="3315"/>
    <n v="112988"/>
    <s v="Liso"/>
    <n v="53521"/>
    <x v="0"/>
    <x v="3"/>
    <m/>
    <m/>
    <m/>
    <s v="Sucata"/>
    <n v="166509"/>
    <n v="1117"/>
  </r>
  <r>
    <n v="6832"/>
    <s v="Goodyear"/>
    <s v="G665"/>
    <n v="3215"/>
    <n v="50956"/>
    <s v="Liso"/>
    <n v="76307"/>
    <x v="0"/>
    <x v="0"/>
    <n v="58734"/>
    <s v="VL-110L"/>
    <s v="Liso"/>
    <s v="Sucata"/>
    <n v="185997"/>
    <n v="1117"/>
  </r>
  <r>
    <n v="6833"/>
    <s v="Goodyear"/>
    <s v="G665"/>
    <n v="3215"/>
    <n v="95420"/>
    <s v="Liso"/>
    <n v="96646"/>
    <x v="1"/>
    <x v="0"/>
    <n v="20231"/>
    <s v="VL-110L"/>
    <s v="Infiltração"/>
    <s v="Sucata"/>
    <n v="212297"/>
    <n v="1117"/>
  </r>
  <r>
    <n v="6834"/>
    <s v="Goodyear"/>
    <s v="G665"/>
    <n v="3215"/>
    <n v="83847"/>
    <s v="Liso"/>
    <n v="69532"/>
    <x v="1"/>
    <x v="0"/>
    <n v="37702"/>
    <s v="VL-110L"/>
    <s v="Infiltração"/>
    <s v="Sucata"/>
    <n v="191081"/>
    <n v="1117"/>
  </r>
  <r>
    <n v="6835"/>
    <s v="Goodyear"/>
    <s v="G665"/>
    <n v="3215"/>
    <n v="97923"/>
    <s v="Liso"/>
    <n v="68686"/>
    <x v="1"/>
    <x v="0"/>
    <n v="3422"/>
    <s v="VL-110L"/>
    <s v="Infiltração"/>
    <s v="Sucata"/>
    <n v="170031"/>
    <n v="1117"/>
  </r>
  <r>
    <n v="6846"/>
    <s v="Goodyear"/>
    <s v="G665"/>
    <n v="3915"/>
    <n v="93611"/>
    <s v="Liso"/>
    <n v="79412"/>
    <x v="1"/>
    <x v="3"/>
    <n v="44210"/>
    <s v="VL-110L"/>
    <s v="Infiltração"/>
    <s v="Sucata"/>
    <n v="217233"/>
    <n v="1117"/>
  </r>
  <r>
    <n v="6847"/>
    <s v="Goodyear"/>
    <s v="G665"/>
    <n v="3915"/>
    <n v="79664"/>
    <s v="Liso"/>
    <n v="68686"/>
    <x v="1"/>
    <x v="0"/>
    <n v="42468"/>
    <s v="VL-110L"/>
    <s v="Liso"/>
    <s v="Sucata"/>
    <n v="190818"/>
    <n v="1117"/>
  </r>
  <r>
    <n v="6848"/>
    <s v="Goodyear"/>
    <s v="G665"/>
    <n v="3915"/>
    <n v="66603"/>
    <s v="Liso"/>
    <n v="69354"/>
    <x v="0"/>
    <x v="0"/>
    <n v="60892"/>
    <s v="VL-110L"/>
    <s v="Liso"/>
    <s v="Sucata"/>
    <n v="196849"/>
    <n v="1117"/>
  </r>
  <r>
    <n v="6849"/>
    <s v="Goodyear"/>
    <s v="G665"/>
    <n v="3915"/>
    <n v="106916"/>
    <s v="Liso"/>
    <m/>
    <x v="2"/>
    <x v="1"/>
    <m/>
    <m/>
    <m/>
    <s v="Sucata"/>
    <n v="106916"/>
    <n v="1117"/>
  </r>
  <r>
    <n v="6856"/>
    <s v="Pirelli"/>
    <s v="MC01"/>
    <n v="2715"/>
    <n v="100345"/>
    <s v="Liso"/>
    <n v="94612"/>
    <x v="0"/>
    <x v="0"/>
    <n v="23700"/>
    <s v="VL-110L"/>
    <s v="s/ dados"/>
    <m/>
    <n v="218657"/>
    <n v="1240"/>
  </r>
  <r>
    <n v="6857"/>
    <s v="Pirelli"/>
    <s v="MC01"/>
    <n v="4015"/>
    <n v="67632"/>
    <s v="Desg. Irregular"/>
    <n v="96646"/>
    <x v="0"/>
    <x v="0"/>
    <n v="31032"/>
    <s v="VL-110L"/>
    <s v="Furado"/>
    <s v="Sucata"/>
    <n v="195310"/>
    <n v="1240"/>
  </r>
  <r>
    <n v="6858"/>
    <s v="Pirelli"/>
    <s v="MC01"/>
    <n v="4115"/>
    <n v="85407"/>
    <s v="Furado"/>
    <m/>
    <x v="2"/>
    <x v="1"/>
    <m/>
    <m/>
    <m/>
    <s v="Sucata"/>
    <n v="85407"/>
    <n v="1240"/>
  </r>
  <r>
    <n v="6859"/>
    <s v="Pirelli"/>
    <s v="MC01"/>
    <n v="4215"/>
    <n v="68698"/>
    <s v="Furado"/>
    <n v="56518"/>
    <x v="1"/>
    <x v="3"/>
    <m/>
    <m/>
    <m/>
    <s v="Sucata"/>
    <n v="125216"/>
    <n v="1240"/>
  </r>
  <r>
    <n v="6860"/>
    <s v="Pirelli"/>
    <s v="MC01"/>
    <n v="2515"/>
    <n v="66768"/>
    <s v="Furado"/>
    <n v="51335"/>
    <x v="0"/>
    <x v="0"/>
    <n v="62945"/>
    <s v="VL-110L"/>
    <s v="Liso"/>
    <s v="Sucata"/>
    <n v="181048"/>
    <n v="1240"/>
  </r>
  <r>
    <n v="6861"/>
    <s v="Pirelli"/>
    <s v="MC01"/>
    <n v="4115"/>
    <n v="47715"/>
    <s v="Furado"/>
    <n v="56662"/>
    <x v="1"/>
    <x v="3"/>
    <n v="30406"/>
    <s v="G665"/>
    <s v="Infiltração"/>
    <s v="Sucata"/>
    <n v="134783"/>
    <n v="1240"/>
  </r>
  <r>
    <n v="6862"/>
    <s v="Pirelli"/>
    <s v="MC01"/>
    <n v="2615"/>
    <n v="79400"/>
    <s v="Liso"/>
    <n v="70946"/>
    <x v="0"/>
    <x v="3"/>
    <m/>
    <m/>
    <m/>
    <s v="Sucata"/>
    <n v="150346"/>
    <n v="1240"/>
  </r>
  <r>
    <n v="6863"/>
    <s v="Pirelli"/>
    <s v="MC01"/>
    <n v="4015"/>
    <n v="95601"/>
    <s v="Liso"/>
    <n v="94612"/>
    <x v="0"/>
    <x v="0"/>
    <n v="23700"/>
    <s v="VL-110L"/>
    <s v="s/ dados"/>
    <m/>
    <n v="213913"/>
    <n v="1240"/>
  </r>
  <r>
    <n v="6864"/>
    <s v="Pirelli"/>
    <s v="MC01"/>
    <n v="4215"/>
    <n v="83782"/>
    <s v="Infiltração"/>
    <m/>
    <x v="2"/>
    <x v="1"/>
    <m/>
    <m/>
    <m/>
    <s v="Sucata"/>
    <n v="83782"/>
    <n v="1240"/>
  </r>
  <r>
    <n v="6865"/>
    <s v="Pirelli"/>
    <s v="MC01"/>
    <n v="2715"/>
    <n v="142357"/>
    <s v="Liso"/>
    <n v="90713"/>
    <x v="0"/>
    <x v="0"/>
    <n v="38673"/>
    <s v="VL-110L"/>
    <s v="s/ dados"/>
    <m/>
    <n v="271743"/>
    <n v="1240"/>
  </r>
  <r>
    <n v="6866"/>
    <s v="Pirelli"/>
    <s v="MC01"/>
    <n v="2315"/>
    <n v="88232"/>
    <s v="Liso"/>
    <n v="88635"/>
    <x v="0"/>
    <x v="0"/>
    <n v="52000"/>
    <s v="VL-110L"/>
    <s v="Liso"/>
    <s v="Sucata"/>
    <n v="228867"/>
    <n v="1240"/>
  </r>
  <r>
    <n v="6867"/>
    <s v="Pirelli"/>
    <s v="MC01"/>
    <n v="2515"/>
    <n v="114620"/>
    <s v="Liso"/>
    <n v="44908"/>
    <x v="0"/>
    <x v="4"/>
    <m/>
    <m/>
    <m/>
    <m/>
    <n v="159528"/>
    <n v="1240"/>
  </r>
  <r>
    <n v="6868"/>
    <s v="Pirelli"/>
    <s v="MC01"/>
    <n v="2715"/>
    <n v="126422"/>
    <s v="Liso"/>
    <n v="96055"/>
    <x v="0"/>
    <x v="0"/>
    <n v="30557"/>
    <s v="VL-110L"/>
    <s v="Infiltração"/>
    <s v="Sucata"/>
    <n v="253034"/>
    <n v="1240"/>
  </r>
  <r>
    <n v="6869"/>
    <s v="Pirelli"/>
    <s v="MC01"/>
    <n v="2715"/>
    <n v="126422"/>
    <s v="Liso"/>
    <n v="82727"/>
    <x v="0"/>
    <x v="3"/>
    <m/>
    <m/>
    <m/>
    <s v="Sucata"/>
    <n v="209149"/>
    <n v="1240"/>
  </r>
  <r>
    <n v="6870"/>
    <s v="Pirelli"/>
    <s v="MC01"/>
    <n v="2615"/>
    <n v="88601"/>
    <s v="Liso"/>
    <n v="102407"/>
    <x v="0"/>
    <x v="4"/>
    <m/>
    <m/>
    <m/>
    <m/>
    <n v="191008"/>
    <n v="1280"/>
  </r>
  <r>
    <n v="6871"/>
    <s v="Pirelli"/>
    <s v="MC01"/>
    <n v="2615"/>
    <n v="115250"/>
    <s v="Liso"/>
    <n v="107606"/>
    <x v="0"/>
    <x v="2"/>
    <m/>
    <m/>
    <m/>
    <s v="Sucata"/>
    <n v="222856"/>
    <n v="1280"/>
  </r>
  <r>
    <n v="6872"/>
    <s v="Pirelli"/>
    <s v="MC01"/>
    <n v="2615"/>
    <n v="29810"/>
    <s v="Liso"/>
    <n v="77044"/>
    <x v="0"/>
    <x v="4"/>
    <n v="102407"/>
    <s v="DVR-M"/>
    <m/>
    <m/>
    <n v="209261"/>
    <n v="1280"/>
  </r>
  <r>
    <n v="6873"/>
    <s v="Pirelli"/>
    <s v="MC01"/>
    <n v="3315"/>
    <n v="97557"/>
    <s v="Liso"/>
    <n v="94612"/>
    <x v="0"/>
    <x v="0"/>
    <n v="48417"/>
    <s v="VL-110L"/>
    <s v="Infiltração"/>
    <s v="Sucata"/>
    <n v="240586"/>
    <n v="1280"/>
  </r>
  <r>
    <n v="6874"/>
    <s v="Pirelli"/>
    <s v="MC01"/>
    <n v="2615"/>
    <n v="98080"/>
    <s v="Liso"/>
    <n v="98717"/>
    <x v="0"/>
    <x v="2"/>
    <m/>
    <m/>
    <m/>
    <s v="Sucata"/>
    <n v="196797"/>
    <n v="1280"/>
  </r>
  <r>
    <n v="6875"/>
    <s v="Pirelli"/>
    <s v="MC01"/>
    <n v="2615"/>
    <n v="86175"/>
    <s v="Liso"/>
    <n v="85984"/>
    <x v="0"/>
    <x v="0"/>
    <m/>
    <m/>
    <m/>
    <s v="Sucata"/>
    <n v="172159"/>
    <n v="1701"/>
  </r>
  <r>
    <n v="6888"/>
    <s v="Pirelli"/>
    <s v="MC01"/>
    <n v="4415"/>
    <n v="100537"/>
    <s v="Liso"/>
    <n v="107606"/>
    <x v="0"/>
    <x v="0"/>
    <m/>
    <m/>
    <m/>
    <s v="Sucata"/>
    <n v="208143"/>
    <n v="1701"/>
  </r>
  <r>
    <n v="6889"/>
    <s v="Pirelli"/>
    <s v="MC01"/>
    <n v="4415"/>
    <n v="123875"/>
    <s v="Furado"/>
    <m/>
    <x v="2"/>
    <x v="1"/>
    <m/>
    <m/>
    <m/>
    <s v="Sucata"/>
    <n v="123875"/>
    <n v="1701"/>
  </r>
  <r>
    <n v="6890"/>
    <s v="Pirelli"/>
    <s v="MC01"/>
    <n v="4415"/>
    <n v="132830"/>
    <s v="Liso"/>
    <n v="74868"/>
    <x v="0"/>
    <x v="0"/>
    <m/>
    <m/>
    <m/>
    <s v="Sucata"/>
    <n v="207698"/>
    <n v="1701"/>
  </r>
  <r>
    <n v="6891"/>
    <s v="Pirelli"/>
    <s v="MC01"/>
    <n v="4415"/>
    <n v="96583"/>
    <s v="Furado"/>
    <m/>
    <x v="2"/>
    <x v="1"/>
    <m/>
    <m/>
    <m/>
    <s v="Sucata"/>
    <n v="96583"/>
    <n v="1701"/>
  </r>
  <r>
    <n v="6910"/>
    <s v="Pirelli"/>
    <s v="MC01"/>
    <n v="4515"/>
    <n v="125751"/>
    <s v="Liso"/>
    <n v="72006"/>
    <x v="0"/>
    <x v="2"/>
    <m/>
    <m/>
    <m/>
    <s v="Sucata"/>
    <n v="197757"/>
    <n v="1701"/>
  </r>
  <r>
    <n v="6911"/>
    <s v="Pirelli"/>
    <s v="MC01"/>
    <n v="4515"/>
    <n v="102115"/>
    <s v="Furado"/>
    <m/>
    <x v="2"/>
    <x v="1"/>
    <m/>
    <m/>
    <m/>
    <s v="Sucata"/>
    <n v="102115"/>
    <n v="1701"/>
  </r>
  <r>
    <n v="6912"/>
    <s v="Pirelli"/>
    <s v="MC01"/>
    <n v="4415"/>
    <n v="101588"/>
    <s v="Liso"/>
    <n v="97639"/>
    <x v="0"/>
    <x v="0"/>
    <m/>
    <m/>
    <m/>
    <s v="Sucata"/>
    <n v="199227"/>
    <n v="1701"/>
  </r>
  <r>
    <n v="6913"/>
    <s v="Pirelli"/>
    <s v="MC01"/>
    <n v="4515"/>
    <n v="107149"/>
    <s v="Liso"/>
    <n v="77115"/>
    <x v="0"/>
    <x v="0"/>
    <m/>
    <m/>
    <m/>
    <s v="Sucata"/>
    <n v="184264"/>
    <n v="1701"/>
  </r>
  <r>
    <n v="6924"/>
    <s v="Pirelli"/>
    <s v="MC01"/>
    <n v="1116"/>
    <n v="138084"/>
    <s v="Liso"/>
    <n v="93088"/>
    <x v="0"/>
    <x v="4"/>
    <m/>
    <m/>
    <m/>
    <m/>
    <n v="231172"/>
    <n v="1701"/>
  </r>
  <r>
    <n v="6925"/>
    <s v="Pirelli"/>
    <s v="MC01"/>
    <n v="1116"/>
    <n v="138084"/>
    <s v="Liso"/>
    <n v="93088"/>
    <x v="0"/>
    <x v="4"/>
    <m/>
    <m/>
    <m/>
    <m/>
    <n v="231172"/>
    <n v="1701"/>
  </r>
  <r>
    <n v="6926"/>
    <s v="Pirelli"/>
    <s v="MC01"/>
    <n v="1116"/>
    <n v="108428"/>
    <s v="Liso"/>
    <n v="95316"/>
    <x v="4"/>
    <x v="0"/>
    <n v="39631"/>
    <s v="VL-110L"/>
    <s v="Liso"/>
    <s v="Sucata"/>
    <n v="243375"/>
    <n v="1701"/>
  </r>
  <r>
    <n v="6927"/>
    <s v="Pirelli"/>
    <s v="MC01"/>
    <n v="616"/>
    <n v="108428"/>
    <s v="Liso"/>
    <n v="95316"/>
    <x v="4"/>
    <x v="0"/>
    <n v="31415"/>
    <s v="VL-110L"/>
    <s v="Infiltração"/>
    <s v="Sucata"/>
    <n v="235159"/>
    <n v="1701"/>
  </r>
  <r>
    <n v="6928"/>
    <s v="Pirelli"/>
    <s v="MC01"/>
    <n v="1116"/>
    <n v="123045"/>
    <s v="Liso"/>
    <n v="95316"/>
    <x v="4"/>
    <x v="0"/>
    <n v="35931"/>
    <s v="VL-110L"/>
    <s v="Liso"/>
    <s v="Sucata"/>
    <n v="254292"/>
    <n v="1701"/>
  </r>
  <r>
    <n v="6929"/>
    <s v="Pirelli"/>
    <s v="MC01"/>
    <n v="1116"/>
    <n v="114514"/>
    <s v="Liso"/>
    <n v="67410"/>
    <x v="0"/>
    <x v="4"/>
    <m/>
    <m/>
    <m/>
    <m/>
    <n v="181924"/>
    <n v="1701"/>
  </r>
  <r>
    <n v="6930"/>
    <s v="Pirelli"/>
    <s v="MC01"/>
    <n v="1116"/>
    <n v="107138"/>
    <s v="Furado"/>
    <n v="37028"/>
    <x v="0"/>
    <x v="2"/>
    <m/>
    <m/>
    <m/>
    <s v="Sucata"/>
    <n v="144166"/>
    <n v="1701"/>
  </r>
  <r>
    <n v="6931"/>
    <s v="Pirelli"/>
    <s v="MC01"/>
    <n v="1116"/>
    <n v="130214"/>
    <s v="Liso"/>
    <n v="95257"/>
    <x v="0"/>
    <x v="4"/>
    <m/>
    <m/>
    <m/>
    <m/>
    <n v="225471"/>
    <n v="1701"/>
  </r>
  <r>
    <n v="6954"/>
    <s v="Pirelli"/>
    <s v="MC01"/>
    <n v="716"/>
    <n v="92815"/>
    <s v="Furado"/>
    <n v="96419"/>
    <x v="0"/>
    <x v="0"/>
    <m/>
    <m/>
    <m/>
    <s v="Sucata"/>
    <n v="189234"/>
    <n v="1701"/>
  </r>
  <r>
    <n v="6955"/>
    <s v="Pirelli"/>
    <s v="MC01"/>
    <n v="1016"/>
    <n v="132199"/>
    <s v="Liso"/>
    <n v="67410"/>
    <x v="0"/>
    <x v="4"/>
    <m/>
    <m/>
    <m/>
    <m/>
    <n v="199609"/>
    <n v="1701"/>
  </r>
  <r>
    <n v="6956"/>
    <s v="Pirelli"/>
    <s v="MC01"/>
    <n v="1316"/>
    <n v="118512"/>
    <s v="Liso"/>
    <n v="95316"/>
    <x v="4"/>
    <x v="0"/>
    <n v="14956"/>
    <s v="VL-110L"/>
    <s v="s/ dados"/>
    <m/>
    <n v="228784"/>
    <n v="1701"/>
  </r>
  <r>
    <n v="6957"/>
    <s v="Pirelli"/>
    <s v="MC01"/>
    <n v="1316"/>
    <n v="110482"/>
    <s v="Liso"/>
    <n v="67410"/>
    <x v="0"/>
    <x v="4"/>
    <m/>
    <m/>
    <m/>
    <m/>
    <n v="177892"/>
    <n v="1701"/>
  </r>
  <r>
    <n v="6964"/>
    <s v="Pirelli"/>
    <s v="MC01"/>
    <n v="3116"/>
    <n v="127850"/>
    <s v="Liso"/>
    <n v="85885"/>
    <x v="0"/>
    <x v="4"/>
    <m/>
    <m/>
    <m/>
    <m/>
    <n v="213735"/>
    <n v="1701"/>
  </r>
  <r>
    <n v="6965"/>
    <s v="Pirelli"/>
    <s v="MC01"/>
    <n v="3016"/>
    <n v="98428"/>
    <s v="Liso"/>
    <n v="74367"/>
    <x v="4"/>
    <x v="2"/>
    <m/>
    <m/>
    <m/>
    <s v="Sucata"/>
    <n v="172795"/>
    <n v="1701"/>
  </r>
  <r>
    <n v="6966"/>
    <s v="Pirelli"/>
    <s v="MC01"/>
    <n v="3116"/>
    <n v="58877"/>
    <s v="Infiltração"/>
    <m/>
    <x v="2"/>
    <x v="1"/>
    <m/>
    <m/>
    <m/>
    <s v="Sucata"/>
    <n v="58877"/>
    <n v="1701"/>
  </r>
  <r>
    <n v="6967"/>
    <s v="Pirelli"/>
    <s v="MC01"/>
    <n v="3016"/>
    <n v="159165"/>
    <s v="Liso"/>
    <n v="124564"/>
    <x v="4"/>
    <x v="0"/>
    <m/>
    <m/>
    <m/>
    <s v="Sucata"/>
    <n v="283729"/>
    <n v="1701"/>
  </r>
  <r>
    <n v="6968"/>
    <s v="Pirelli"/>
    <s v="MC01"/>
    <n v="3116"/>
    <n v="87540"/>
    <s v="Desg. Irregular"/>
    <n v="89100"/>
    <x v="0"/>
    <x v="0"/>
    <m/>
    <m/>
    <m/>
    <s v="Sucata"/>
    <n v="176640"/>
    <n v="1701"/>
  </r>
  <r>
    <n v="6969"/>
    <s v="Pirelli"/>
    <s v="MC01"/>
    <n v="3016"/>
    <n v="112367"/>
    <s v="Liso"/>
    <n v="83619"/>
    <x v="0"/>
    <x v="0"/>
    <m/>
    <m/>
    <m/>
    <s v="Sucata"/>
    <n v="195986"/>
    <n v="1701"/>
  </r>
  <r>
    <n v="6970"/>
    <s v="Pirelli"/>
    <s v="MC01"/>
    <n v="3016"/>
    <n v="70155"/>
    <s v="Liso"/>
    <n v="95643"/>
    <x v="0"/>
    <x v="0"/>
    <m/>
    <m/>
    <m/>
    <s v="Sucata"/>
    <n v="165798"/>
    <n v="1701"/>
  </r>
  <r>
    <n v="6971"/>
    <s v="Pirelli"/>
    <s v="MC01"/>
    <n v="3116"/>
    <n v="70155"/>
    <s v="Liso"/>
    <n v="95643"/>
    <x v="0"/>
    <x v="0"/>
    <m/>
    <m/>
    <m/>
    <s v="Sucata"/>
    <n v="165798"/>
    <n v="1701"/>
  </r>
  <r>
    <n v="6976"/>
    <s v="Pirelli"/>
    <s v="MC01"/>
    <n v="2916"/>
    <n v="140581"/>
    <s v="Liso"/>
    <n v="34918"/>
    <x v="4"/>
    <x v="2"/>
    <m/>
    <m/>
    <m/>
    <s v="Sucata"/>
    <n v="175499"/>
    <n v="1701"/>
  </r>
  <r>
    <n v="6977"/>
    <s v="Pirelli"/>
    <s v="MC01"/>
    <n v="2716"/>
    <n v="121446"/>
    <s v="Liso"/>
    <n v="39278"/>
    <x v="0"/>
    <x v="2"/>
    <m/>
    <m/>
    <m/>
    <s v="Sucata"/>
    <n v="160724"/>
    <n v="1701"/>
  </r>
  <r>
    <n v="6978"/>
    <s v="Pirelli"/>
    <s v="MC01"/>
    <n v="2916"/>
    <n v="111062"/>
    <s v="Liso"/>
    <n v="66140"/>
    <x v="4"/>
    <x v="2"/>
    <m/>
    <m/>
    <m/>
    <s v="Sucata"/>
    <n v="177202"/>
    <n v="1701"/>
  </r>
  <r>
    <n v="6979"/>
    <s v="Pirelli"/>
    <s v="MC01"/>
    <n v="2916"/>
    <n v="87515"/>
    <s v="Liso"/>
    <n v="52062"/>
    <x v="0"/>
    <x v="2"/>
    <m/>
    <m/>
    <m/>
    <s v="Sucata"/>
    <n v="139577"/>
    <n v="1701"/>
  </r>
  <r>
    <n v="6980"/>
    <s v="Pirelli"/>
    <s v="MC01"/>
    <n v="3116"/>
    <n v="115723"/>
    <s v="Liso"/>
    <n v="89967"/>
    <x v="4"/>
    <x v="0"/>
    <n v="16726"/>
    <s v="VL-110L"/>
    <s v="Infiltração"/>
    <s v="Sucata"/>
    <n v="222416"/>
    <n v="1701"/>
  </r>
  <r>
    <n v="6981"/>
    <s v="Pirelli"/>
    <s v="MC01"/>
    <n v="3116"/>
    <n v="130131"/>
    <s v="Liso"/>
    <n v="55699"/>
    <x v="0"/>
    <x v="2"/>
    <m/>
    <m/>
    <m/>
    <s v="Sucata"/>
    <n v="185830"/>
    <n v="1701"/>
  </r>
  <r>
    <n v="6982"/>
    <s v="Pirelli"/>
    <s v="MC01"/>
    <n v="3116"/>
    <n v="122553"/>
    <s v="Liso"/>
    <n v="93038"/>
    <x v="0"/>
    <x v="4"/>
    <m/>
    <m/>
    <m/>
    <m/>
    <n v="215591"/>
    <n v="1701"/>
  </r>
  <r>
    <n v="6983"/>
    <s v="Pirelli"/>
    <s v="MC01"/>
    <n v="3116"/>
    <n v="118259"/>
    <s v="Liso"/>
    <m/>
    <x v="2"/>
    <x v="2"/>
    <m/>
    <m/>
    <m/>
    <s v="Sucata"/>
    <n v="118259"/>
    <n v="1701"/>
  </r>
  <r>
    <n v="6984"/>
    <s v="Pirelli"/>
    <s v="MC01"/>
    <n v="2916"/>
    <n v="124113"/>
    <s v="Liso"/>
    <m/>
    <x v="2"/>
    <x v="2"/>
    <m/>
    <m/>
    <m/>
    <s v="Sucata"/>
    <n v="124113"/>
    <n v="1701"/>
  </r>
  <r>
    <n v="6985"/>
    <s v="Pirelli"/>
    <s v="MC01"/>
    <n v="2916"/>
    <n v="126296"/>
    <s v="Liso"/>
    <n v="27670"/>
    <x v="0"/>
    <x v="2"/>
    <m/>
    <m/>
    <m/>
    <s v="Sucata"/>
    <n v="153966"/>
    <n v="1701"/>
  </r>
  <r>
    <n v="6986"/>
    <s v="Pirelli"/>
    <s v="MC01"/>
    <n v="2916"/>
    <n v="140148"/>
    <s v="Liso"/>
    <n v="23700"/>
    <x v="0"/>
    <x v="4"/>
    <m/>
    <m/>
    <m/>
    <m/>
    <n v="163848"/>
    <n v="1701"/>
  </r>
  <r>
    <n v="6987"/>
    <s v="Pirelli"/>
    <s v="MC01"/>
    <n v="2916"/>
    <n v="105617"/>
    <s v="Liso"/>
    <n v="71643"/>
    <x v="0"/>
    <x v="3"/>
    <m/>
    <m/>
    <m/>
    <s v="Sucata"/>
    <n v="177260"/>
    <n v="1701"/>
  </r>
  <r>
    <n v="6988"/>
    <s v="Pirelli"/>
    <s v="MC01"/>
    <n v="3116"/>
    <n v="86503"/>
    <s v="Infiltração"/>
    <m/>
    <x v="2"/>
    <x v="1"/>
    <m/>
    <m/>
    <m/>
    <s v="Sucata"/>
    <n v="86503"/>
    <n v="1701"/>
  </r>
  <r>
    <n v="6989"/>
    <s v="Pirelli"/>
    <s v="MC01"/>
    <n v="2716"/>
    <n v="110121"/>
    <s v="Liso"/>
    <n v="54562"/>
    <x v="0"/>
    <x v="2"/>
    <m/>
    <m/>
    <m/>
    <s v="Sucata"/>
    <n v="164683"/>
    <n v="1701"/>
  </r>
  <r>
    <n v="7004"/>
    <s v="Pirelli"/>
    <s v="FR01"/>
    <n v="416"/>
    <n v="82182"/>
    <s v="Liso"/>
    <n v="95643"/>
    <x v="0"/>
    <x v="0"/>
    <m/>
    <m/>
    <m/>
    <s v="Sucata"/>
    <n v="177825"/>
    <n v="1603"/>
  </r>
  <r>
    <n v="7005"/>
    <s v="Pirelli"/>
    <s v="FR01"/>
    <n v="4516"/>
    <n v="64731"/>
    <s v="Liso"/>
    <n v="61940"/>
    <x v="0"/>
    <x v="3"/>
    <n v="48845"/>
    <s v="DVR-M"/>
    <s v="Infiltração"/>
    <s v="Sucata"/>
    <n v="175516"/>
    <n v="1603"/>
  </r>
  <r>
    <n v="7006"/>
    <s v="Pirelli"/>
    <s v="FR01"/>
    <n v="4516"/>
    <n v="50050"/>
    <s v="Furado"/>
    <n v="105910"/>
    <x v="0"/>
    <x v="0"/>
    <n v="14098"/>
    <s v="VL-110L"/>
    <s v="s/ dados"/>
    <m/>
    <n v="170058"/>
    <n v="1603"/>
  </r>
  <r>
    <n v="7007"/>
    <s v="Pirelli"/>
    <s v="FR01"/>
    <n v="4516"/>
    <n v="56569"/>
    <s v="Liso"/>
    <n v="79330"/>
    <x v="0"/>
    <x v="2"/>
    <m/>
    <m/>
    <m/>
    <s v="Sucata"/>
    <n v="135899"/>
    <n v="1603"/>
  </r>
  <r>
    <n v="7018"/>
    <s v="Pirelli"/>
    <s v="FR01"/>
    <n v="4616"/>
    <n v="72081"/>
    <s v="Liso"/>
    <n v="121556"/>
    <x v="0"/>
    <x v="0"/>
    <n v="32467"/>
    <s v="VL-110L"/>
    <s v="s/ dados"/>
    <m/>
    <n v="226104"/>
    <n v="1603"/>
  </r>
  <r>
    <n v="7019"/>
    <s v="Pirelli"/>
    <s v="FR01"/>
    <n v="4616"/>
    <n v="53342"/>
    <s v="Desg. Irregular"/>
    <n v="95257"/>
    <x v="0"/>
    <x v="4"/>
    <m/>
    <m/>
    <m/>
    <m/>
    <n v="148599"/>
    <n v="1603"/>
  </r>
  <r>
    <n v="7020"/>
    <s v="Pirelli"/>
    <s v="FR01"/>
    <n v="4616"/>
    <n v="79152"/>
    <s v="Liso"/>
    <n v="93680"/>
    <x v="4"/>
    <x v="0"/>
    <m/>
    <m/>
    <m/>
    <s v="Sucata"/>
    <n v="172832"/>
    <n v="1603"/>
  </r>
  <r>
    <n v="7021"/>
    <s v="Pirelli"/>
    <s v="FR01"/>
    <n v="4616"/>
    <n v="93560"/>
    <s v="Liso"/>
    <n v="74029"/>
    <x v="0"/>
    <x v="2"/>
    <m/>
    <m/>
    <m/>
    <s v="Sucata"/>
    <n v="167589"/>
    <n v="1603"/>
  </r>
  <r>
    <n v="7044"/>
    <s v="Michelin"/>
    <s v="X-incity"/>
    <n v="3115"/>
    <n v="104174"/>
    <s v="Liso"/>
    <n v="44544"/>
    <x v="4"/>
    <x v="3"/>
    <m/>
    <m/>
    <m/>
    <s v="Sucata"/>
    <n v="148718"/>
    <n v="1586"/>
  </r>
  <r>
    <n v="7045"/>
    <s v="Michelin"/>
    <s v="X-incity"/>
    <n v="3316"/>
    <n v="104174"/>
    <s v="Liso"/>
    <n v="124466"/>
    <x v="4"/>
    <x v="0"/>
    <n v="32467"/>
    <s v="X-Incity"/>
    <s v="s/ dados"/>
    <m/>
    <n v="261107"/>
    <n v="1586"/>
  </r>
  <r>
    <n v="7046"/>
    <s v="Michelin"/>
    <s v="X-incity"/>
    <n v="2115"/>
    <n v="117604"/>
    <s v="Liso"/>
    <n v="63404"/>
    <x v="5"/>
    <x v="4"/>
    <m/>
    <m/>
    <m/>
    <m/>
    <n v="181008"/>
    <n v="1586"/>
  </r>
  <r>
    <n v="7047"/>
    <s v="Michelin"/>
    <s v="X-incity"/>
    <n v="2115"/>
    <n v="117604"/>
    <s v="Liso"/>
    <n v="110041"/>
    <x v="5"/>
    <x v="0"/>
    <m/>
    <m/>
    <m/>
    <s v="Sucata"/>
    <n v="227645"/>
    <n v="1586"/>
  </r>
  <r>
    <n v="7048"/>
    <s v="Michelin"/>
    <s v="X-incity"/>
    <n v="3316"/>
    <n v="87550"/>
    <s v="Liso"/>
    <n v="120618"/>
    <x v="5"/>
    <x v="0"/>
    <n v="91113"/>
    <s v="X-Incity"/>
    <s v="Infiltração"/>
    <s v="Sucata"/>
    <n v="299281"/>
    <n v="1586"/>
  </r>
  <r>
    <n v="7049"/>
    <s v="Michelin"/>
    <s v="X-incity"/>
    <n v="3316"/>
    <n v="87550"/>
    <s v="Liso"/>
    <n v="111782"/>
    <x v="5"/>
    <x v="3"/>
    <m/>
    <m/>
    <m/>
    <s v="Sucata"/>
    <n v="199332"/>
    <n v="1586"/>
  </r>
  <r>
    <n v="7050"/>
    <s v="Michelin"/>
    <s v="X-incity"/>
    <n v="3316"/>
    <n v="114425"/>
    <s v="Liso"/>
    <n v="63404"/>
    <x v="4"/>
    <x v="4"/>
    <m/>
    <m/>
    <m/>
    <m/>
    <n v="177829"/>
    <n v="1586"/>
  </r>
  <r>
    <n v="7051"/>
    <s v="Michelin"/>
    <s v="X-incity"/>
    <n v="3316"/>
    <n v="114425"/>
    <s v="Liso"/>
    <n v="63404"/>
    <x v="4"/>
    <x v="4"/>
    <m/>
    <m/>
    <m/>
    <m/>
    <n v="177829"/>
    <n v="1586"/>
  </r>
  <r>
    <n v="7052"/>
    <s v="Michelin"/>
    <s v="X-incity"/>
    <n v="3316"/>
    <n v="96258"/>
    <s v="Liso"/>
    <n v="134863"/>
    <x v="5"/>
    <x v="0"/>
    <m/>
    <m/>
    <m/>
    <s v="Sucata"/>
    <n v="231121"/>
    <n v="1586"/>
  </r>
  <r>
    <n v="7053"/>
    <s v="Michelin"/>
    <s v="X-incity"/>
    <n v="3316"/>
    <n v="110166"/>
    <s v="Liso"/>
    <n v="19818"/>
    <x v="0"/>
    <x v="4"/>
    <m/>
    <m/>
    <m/>
    <m/>
    <n v="129984"/>
    <n v="1586"/>
  </r>
  <r>
    <n v="7074"/>
    <s v="Michelin"/>
    <s v="X-incity"/>
    <n v="3316"/>
    <n v="113217"/>
    <s v="Liso"/>
    <n v="113972"/>
    <x v="5"/>
    <x v="0"/>
    <n v="54843"/>
    <s v="X-Incity"/>
    <s v="Furado"/>
    <s v="Sucata"/>
    <n v="282032"/>
    <n v="1586"/>
  </r>
  <r>
    <n v="7075"/>
    <s v="Michelin"/>
    <s v="X-incity"/>
    <n v="3316"/>
    <n v="113217"/>
    <s v="Liso"/>
    <n v="131859"/>
    <x v="5"/>
    <x v="0"/>
    <n v="14524"/>
    <s v="X-Incity"/>
    <s v="Infiltração"/>
    <s v="Sucata"/>
    <n v="259600"/>
    <n v="1586"/>
  </r>
  <r>
    <n v="7076"/>
    <s v="Michelin"/>
    <s v="X-incity"/>
    <n v="3316"/>
    <n v="95954"/>
    <s v="Liso"/>
    <m/>
    <x v="5"/>
    <x v="4"/>
    <m/>
    <m/>
    <m/>
    <m/>
    <n v="95954"/>
    <n v="1586"/>
  </r>
  <r>
    <n v="7077"/>
    <s v="Michelin"/>
    <s v="X-incity"/>
    <n v="3316"/>
    <n v="95954"/>
    <s v="Liso"/>
    <m/>
    <x v="5"/>
    <x v="4"/>
    <m/>
    <m/>
    <m/>
    <m/>
    <n v="95954"/>
    <n v="1586"/>
  </r>
  <r>
    <n v="7086"/>
    <s v="Michelin"/>
    <s v="X-incity"/>
    <n v="2017"/>
    <n v="94012"/>
    <s v="Liso"/>
    <n v="101439"/>
    <x v="5"/>
    <x v="4"/>
    <m/>
    <m/>
    <m/>
    <m/>
    <n v="195451"/>
    <n v="1586"/>
  </r>
  <r>
    <n v="7087"/>
    <s v="Michelin"/>
    <s v="X-incity"/>
    <n v="2017"/>
    <n v="94012"/>
    <s v="Liso"/>
    <n v="101439"/>
    <x v="5"/>
    <x v="4"/>
    <m/>
    <m/>
    <m/>
    <m/>
    <n v="195451"/>
    <n v="1586"/>
  </r>
  <r>
    <n v="7088"/>
    <s v="Michelin"/>
    <s v="X-incity"/>
    <n v="2017"/>
    <n v="93201"/>
    <s v="Liso"/>
    <m/>
    <x v="0"/>
    <x v="1"/>
    <m/>
    <m/>
    <m/>
    <n v="19052"/>
    <n v="93201"/>
    <n v="1586"/>
  </r>
  <r>
    <n v="7089"/>
    <s v="Michelin"/>
    <s v="X-incity"/>
    <n v="2017"/>
    <n v="119531"/>
    <s v="Liso"/>
    <n v="115456"/>
    <x v="5"/>
    <x v="0"/>
    <m/>
    <m/>
    <m/>
    <s v="Estoque"/>
    <n v="234987"/>
    <n v="1586"/>
  </r>
  <r>
    <n v="7090"/>
    <s v="Michelin"/>
    <s v="X-incity"/>
    <n v="2017"/>
    <n v="97650"/>
    <s v="Liso"/>
    <n v="108327"/>
    <x v="5"/>
    <x v="4"/>
    <n v="19275"/>
    <s v="X-Incity"/>
    <m/>
    <m/>
    <n v="225252"/>
    <n v="1586"/>
  </r>
  <r>
    <n v="7091"/>
    <s v="Michelin"/>
    <s v="X-incity"/>
    <n v="1917"/>
    <n v="86449"/>
    <s v="Corte na banda"/>
    <n v="63404"/>
    <x v="5"/>
    <x v="4"/>
    <m/>
    <m/>
    <m/>
    <m/>
    <n v="149853"/>
    <n v="1586"/>
  </r>
  <r>
    <n v="7092"/>
    <s v="Michelin"/>
    <s v="X-incity"/>
    <n v="1917"/>
    <n v="93902"/>
    <s v="Liso"/>
    <n v="101439"/>
    <x v="5"/>
    <x v="4"/>
    <m/>
    <m/>
    <m/>
    <m/>
    <n v="195341"/>
    <n v="1586"/>
  </r>
  <r>
    <n v="7093"/>
    <s v="Michelin"/>
    <s v="X-incity"/>
    <n v="1917"/>
    <n v="93902"/>
    <s v="Liso"/>
    <n v="80569"/>
    <x v="5"/>
    <x v="4"/>
    <m/>
    <m/>
    <m/>
    <m/>
    <n v="174471"/>
    <n v="1586"/>
  </r>
  <r>
    <n v="7094"/>
    <s v="Michelin"/>
    <s v="X-incity"/>
    <n v="1917"/>
    <n v="116909"/>
    <s v="Liso"/>
    <n v="80869"/>
    <x v="5"/>
    <x v="4"/>
    <m/>
    <m/>
    <m/>
    <m/>
    <n v="197778"/>
    <n v="1586"/>
  </r>
  <r>
    <n v="7095"/>
    <s v="Michelin"/>
    <s v="X-incity"/>
    <n v="1917"/>
    <n v="117369"/>
    <s v="Liso"/>
    <n v="101439"/>
    <x v="5"/>
    <x v="4"/>
    <m/>
    <m/>
    <m/>
    <m/>
    <n v="218808"/>
    <n v="1586"/>
  </r>
  <r>
    <n v="7100"/>
    <s v="Michelin"/>
    <s v="X-incity"/>
    <n v="2717"/>
    <n v="121031"/>
    <s v="Liso"/>
    <m/>
    <x v="5"/>
    <x v="4"/>
    <m/>
    <m/>
    <m/>
    <m/>
    <n v="121031"/>
    <n v="1586"/>
  </r>
  <r>
    <n v="7101"/>
    <s v="Michelin"/>
    <s v="X-incity"/>
    <n v="2717"/>
    <n v="121031"/>
    <s v="Liso"/>
    <m/>
    <x v="5"/>
    <x v="4"/>
    <m/>
    <m/>
    <m/>
    <m/>
    <n v="121031"/>
    <n v="1586"/>
  </r>
  <r>
    <n v="7102"/>
    <s v="Michelin"/>
    <s v="X-incity"/>
    <n v="2717"/>
    <n v="73572"/>
    <s v="Furado"/>
    <m/>
    <x v="2"/>
    <x v="1"/>
    <m/>
    <m/>
    <m/>
    <s v="Sucata"/>
    <n v="73572"/>
    <n v="1586"/>
  </r>
  <r>
    <n v="7103"/>
    <s v="Michelin"/>
    <s v="X-incity"/>
    <n v="2717"/>
    <n v="101192"/>
    <s v="Liso"/>
    <n v="80197"/>
    <x v="5"/>
    <x v="3"/>
    <m/>
    <m/>
    <m/>
    <s v="Sucata"/>
    <n v="181389"/>
    <n v="1586"/>
  </r>
  <r>
    <n v="7104"/>
    <s v="Michelin"/>
    <s v="X-incity"/>
    <n v="2717"/>
    <n v="99591"/>
    <s v="Liso"/>
    <n v="134189"/>
    <x v="5"/>
    <x v="0"/>
    <n v="20020"/>
    <s v="X-Incity"/>
    <s v="Corte lateral"/>
    <s v="Sucata"/>
    <n v="253800"/>
    <n v="1586"/>
  </r>
  <r>
    <n v="7105"/>
    <s v="Michelin"/>
    <s v="X-incity"/>
    <n v="2717"/>
    <n v="79549"/>
    <s v="Furado"/>
    <n v="123815"/>
    <x v="5"/>
    <x v="0"/>
    <m/>
    <m/>
    <m/>
    <s v="Sucata"/>
    <n v="203364"/>
    <n v="1586"/>
  </r>
  <r>
    <n v="7114"/>
    <s v="Michelin"/>
    <s v="X-incity"/>
    <n v="1917"/>
    <n v="105688"/>
    <s v="Liso"/>
    <n v="84774"/>
    <x v="5"/>
    <x v="0"/>
    <n v="30276"/>
    <s v="X-Incity"/>
    <s v="Infiltração"/>
    <s v="Sucata"/>
    <n v="220738"/>
    <n v="1586"/>
  </r>
  <r>
    <n v="7115"/>
    <s v="Michelin"/>
    <s v="X-incity"/>
    <n v="2017"/>
    <n v="105688"/>
    <s v="Liso"/>
    <m/>
    <x v="5"/>
    <x v="4"/>
    <m/>
    <m/>
    <m/>
    <m/>
    <n v="105688"/>
    <n v="1586"/>
  </r>
  <r>
    <n v="7134"/>
    <s v="Michelin"/>
    <s v="X-incity"/>
    <n v="2717"/>
    <n v="94274"/>
    <s v="Liso"/>
    <n v="101439"/>
    <x v="5"/>
    <x v="0"/>
    <n v="66830"/>
    <s v="X-Incity"/>
    <s v="Furado"/>
    <s v="Conserto"/>
    <n v="262543"/>
    <n v="1586"/>
  </r>
  <r>
    <n v="7135"/>
    <s v="Michelin"/>
    <s v="X-incity"/>
    <n v="2717"/>
    <n v="94274"/>
    <s v="Liso"/>
    <n v="75577"/>
    <x v="5"/>
    <x v="2"/>
    <m/>
    <m/>
    <m/>
    <s v="Sucata"/>
    <n v="169851"/>
    <n v="1586"/>
  </r>
  <r>
    <n v="7136"/>
    <s v="Michelin"/>
    <s v="X-incity"/>
    <n v="2717"/>
    <n v="109731"/>
    <s v="Liso"/>
    <n v="62977"/>
    <x v="5"/>
    <x v="2"/>
    <m/>
    <m/>
    <m/>
    <s v="Sucata"/>
    <n v="172708"/>
    <n v="1586"/>
  </r>
  <r>
    <n v="7137"/>
    <s v="Michelin"/>
    <s v="X-incity"/>
    <n v="2717"/>
    <n v="97650"/>
    <s v="Liso"/>
    <n v="142305"/>
    <x v="5"/>
    <x v="0"/>
    <n v="47000"/>
    <s v="X-Incity"/>
    <m/>
    <n v="19053"/>
    <n v="286955"/>
    <n v="1586"/>
  </r>
  <r>
    <n v="7138"/>
    <s v="Michelin"/>
    <s v="X-incity"/>
    <n v="3717"/>
    <n v="103332"/>
    <s v="Liso"/>
    <n v="115598"/>
    <x v="5"/>
    <x v="0"/>
    <m/>
    <s v="DVR-M"/>
    <m/>
    <n v="19056"/>
    <n v="218930"/>
    <n v="1586"/>
  </r>
  <r>
    <n v="7139"/>
    <s v="Michelin"/>
    <s v="X-incity"/>
    <n v="3717"/>
    <n v="54199"/>
    <s v="Furado"/>
    <m/>
    <x v="2"/>
    <x v="1"/>
    <m/>
    <m/>
    <m/>
    <s v="Sucata"/>
    <n v="54199"/>
    <n v="1586"/>
  </r>
  <r>
    <n v="7140"/>
    <s v="Michelin"/>
    <s v="X-incity"/>
    <n v="3717"/>
    <n v="110340"/>
    <s v="Liso"/>
    <n v="58912"/>
    <x v="5"/>
    <x v="3"/>
    <m/>
    <m/>
    <m/>
    <s v="Sucata"/>
    <n v="169252"/>
    <n v="1586"/>
  </r>
  <r>
    <n v="7141"/>
    <s v="Michelin"/>
    <s v="X-incity"/>
    <n v="3717"/>
    <n v="113775"/>
    <s v="Liso"/>
    <n v="75063"/>
    <x v="5"/>
    <x v="2"/>
    <m/>
    <m/>
    <m/>
    <s v="Sucata"/>
    <n v="188838"/>
    <n v="1586"/>
  </r>
  <r>
    <n v="7142"/>
    <s v="Michelin"/>
    <s v="X-incity"/>
    <n v="3717"/>
    <n v="85490"/>
    <s v="Liso"/>
    <n v="115902"/>
    <x v="5"/>
    <x v="0"/>
    <m/>
    <s v="X-Incity"/>
    <m/>
    <n v="8002"/>
    <n v="201392"/>
    <n v="1586"/>
  </r>
  <r>
    <n v="7143"/>
    <s v="Michelin"/>
    <s v="X-incity"/>
    <n v="3717"/>
    <n v="99298"/>
    <s v="Liso"/>
    <n v="84774"/>
    <x v="5"/>
    <x v="0"/>
    <n v="38567"/>
    <s v="X-Incity"/>
    <s v="Infiltração"/>
    <s v="Sucata"/>
    <n v="222639"/>
    <n v="1586"/>
  </r>
  <r>
    <n v="7144"/>
    <s v="Michelin"/>
    <s v="X-incity"/>
    <n v="3717"/>
    <n v="109731"/>
    <s v="Liso"/>
    <n v="80569"/>
    <x v="5"/>
    <x v="4"/>
    <m/>
    <m/>
    <m/>
    <m/>
    <n v="190300"/>
    <n v="1617"/>
  </r>
  <r>
    <n v="7187"/>
    <s v="Pirelli"/>
    <s v="MC01"/>
    <n v="318"/>
    <n v="56328"/>
    <s v="s/ dados"/>
    <m/>
    <x v="2"/>
    <x v="1"/>
    <m/>
    <m/>
    <m/>
    <m/>
    <n v="56328"/>
    <n v="1617"/>
  </r>
  <r>
    <n v="7188"/>
    <s v="Pirelli"/>
    <s v="MC01"/>
    <n v="318"/>
    <n v="56328"/>
    <s v="s/ dados"/>
    <m/>
    <x v="2"/>
    <x v="1"/>
    <m/>
    <m/>
    <m/>
    <m/>
    <n v="56328"/>
    <n v="1617"/>
  </r>
  <r>
    <n v="7189"/>
    <s v="Pirelli"/>
    <s v="MC01"/>
    <n v="318"/>
    <n v="38110"/>
    <s v="s/ dados"/>
    <m/>
    <x v="2"/>
    <x v="1"/>
    <m/>
    <m/>
    <m/>
    <m/>
    <n v="38110"/>
    <n v="1617"/>
  </r>
  <r>
    <n v="7190"/>
    <s v="Pirelli"/>
    <s v="MC01"/>
    <n v="318"/>
    <n v="70135"/>
    <s v="Liso"/>
    <n v="32467"/>
    <x v="0"/>
    <x v="4"/>
    <m/>
    <m/>
    <m/>
    <m/>
    <n v="102602"/>
    <n v="1617"/>
  </r>
  <r>
    <n v="7191"/>
    <s v="Pirelli"/>
    <s v="MC01"/>
    <n v="818"/>
    <n v="83962"/>
    <s v="Liso"/>
    <n v="19818"/>
    <x v="0"/>
    <x v="4"/>
    <m/>
    <m/>
    <m/>
    <m/>
    <n v="103780"/>
    <n v="1617"/>
  </r>
  <r>
    <n v="7192"/>
    <s v="Pirelli"/>
    <s v="MC01"/>
    <n v="818"/>
    <n v="83962"/>
    <s v="Liso"/>
    <n v="19818"/>
    <x v="0"/>
    <x v="4"/>
    <m/>
    <m/>
    <m/>
    <m/>
    <n v="103780"/>
    <n v="1617"/>
  </r>
  <r>
    <n v="7193"/>
    <s v="Pirelli"/>
    <s v="MC01"/>
    <n v="818"/>
    <n v="70439"/>
    <s v="Liso"/>
    <n v="83619"/>
    <x v="0"/>
    <x v="0"/>
    <n v="28182"/>
    <s v="VL-110L"/>
    <s v="Infiltração"/>
    <s v="Sucata"/>
    <n v="182240"/>
    <n v="1617"/>
  </r>
  <r>
    <n v="7194"/>
    <s v="Pirelli"/>
    <s v="FR01"/>
    <n v="3217"/>
    <n v="56631"/>
    <s v="Furado"/>
    <m/>
    <x v="2"/>
    <x v="1"/>
    <m/>
    <m/>
    <m/>
    <s v="Sucata"/>
    <n v="56631"/>
    <n v="1706"/>
  </r>
  <r>
    <n v="7195"/>
    <s v="Pirelli"/>
    <s v="FR01"/>
    <n v="3217"/>
    <n v="71065"/>
    <s v="Liso"/>
    <n v="14346"/>
    <x v="0"/>
    <x v="4"/>
    <m/>
    <m/>
    <m/>
    <m/>
    <n v="85411"/>
    <n v="1706"/>
  </r>
  <r>
    <n v="7196"/>
    <s v="Pirelli"/>
    <s v="FR01"/>
    <n v="3217"/>
    <n v="71603"/>
    <s v="Liso"/>
    <n v="68311"/>
    <x v="0"/>
    <x v="0"/>
    <n v="36583"/>
    <s v="VL-110L"/>
    <m/>
    <s v="Sucata"/>
    <n v="176497"/>
    <n v="1706"/>
  </r>
  <r>
    <n v="7197"/>
    <s v="Pirelli"/>
    <s v="FR01"/>
    <n v="3217"/>
    <n v="23700"/>
    <s v="Liso"/>
    <m/>
    <x v="0"/>
    <x v="4"/>
    <m/>
    <m/>
    <m/>
    <m/>
    <n v="23700"/>
    <n v="1706"/>
  </r>
  <r>
    <n v="7198"/>
    <s v="Pirelli"/>
    <s v="FR01"/>
    <n v="3217"/>
    <n v="78985"/>
    <s v="Liso"/>
    <n v="14346"/>
    <x v="0"/>
    <x v="4"/>
    <m/>
    <m/>
    <m/>
    <m/>
    <n v="93331"/>
    <n v="1706"/>
  </r>
  <r>
    <n v="7215"/>
    <s v="Pirelli"/>
    <s v="FR01"/>
    <n v="818"/>
    <n v="84679"/>
    <s v="Liso"/>
    <n v="67610"/>
    <x v="0"/>
    <x v="0"/>
    <n v="31219"/>
    <s v="VL-110L"/>
    <s v="Corte lateral"/>
    <s v="Sucata"/>
    <n v="183508"/>
    <n v="1706"/>
  </r>
  <r>
    <n v="7216"/>
    <s v="Pirelli"/>
    <s v="FR01"/>
    <n v="218"/>
    <n v="97931"/>
    <s v="Liso"/>
    <n v="76719"/>
    <x v="0"/>
    <x v="0"/>
    <m/>
    <m/>
    <m/>
    <s v="Sucata"/>
    <n v="174650"/>
    <n v="1706"/>
  </r>
  <r>
    <n v="7217"/>
    <s v="Pirelli"/>
    <s v="FR01"/>
    <n v="218"/>
    <n v="120736"/>
    <s v="Liso"/>
    <n v="52062"/>
    <x v="0"/>
    <x v="0"/>
    <n v="28182"/>
    <s v="VL-110L"/>
    <s v="Infiltração"/>
    <s v="Sucata"/>
    <n v="200980"/>
    <n v="1706"/>
  </r>
  <r>
    <n v="7218"/>
    <s v="Pirelli"/>
    <s v="FR01"/>
    <n v="218"/>
    <n v="120736"/>
    <s v="Liso"/>
    <n v="26254"/>
    <x v="0"/>
    <x v="2"/>
    <m/>
    <m/>
    <m/>
    <s v="Sucata"/>
    <n v="146990"/>
    <n v="1706"/>
  </r>
  <r>
    <n v="7219"/>
    <s v="Pirelli"/>
    <s v="FR01"/>
    <n v="218"/>
    <n v="61303"/>
    <s v="Furado"/>
    <m/>
    <x v="2"/>
    <x v="1"/>
    <m/>
    <m/>
    <m/>
    <s v="Sucata"/>
    <n v="61303"/>
    <n v="1706"/>
  </r>
  <r>
    <n v="7220"/>
    <s v="Pirelli"/>
    <s v="FR01"/>
    <n v="218"/>
    <n v="119620"/>
    <s v="Liso"/>
    <n v="2620"/>
    <x v="0"/>
    <x v="1"/>
    <m/>
    <m/>
    <m/>
    <m/>
    <n v="122240"/>
    <n v="1706"/>
  </r>
  <r>
    <n v="7221"/>
    <s v="Pirelli"/>
    <s v="FR01"/>
    <n v="1018"/>
    <n v="122504"/>
    <s v="Liso"/>
    <n v="57536"/>
    <x v="0"/>
    <x v="0"/>
    <n v="34940"/>
    <s v="VL-110L"/>
    <s v="Liso"/>
    <s v="Estoque"/>
    <n v="214980"/>
    <n v="1706"/>
  </r>
  <r>
    <n v="7222"/>
    <s v="Pirelli"/>
    <s v="FR01"/>
    <n v="1018"/>
    <n v="72730"/>
    <s v="Furado"/>
    <m/>
    <x v="2"/>
    <x v="1"/>
    <m/>
    <m/>
    <m/>
    <m/>
    <n v="72730"/>
    <n v="1706"/>
  </r>
  <r>
    <n v="7223"/>
    <s v="Pirelli"/>
    <s v="FR01"/>
    <n v="1018"/>
    <n v="109572"/>
    <s v="Liso"/>
    <n v="77313"/>
    <x v="0"/>
    <x v="0"/>
    <n v="22093"/>
    <s v="VL-110L"/>
    <s v="Infiltração"/>
    <s v="Sucata"/>
    <n v="208978"/>
    <n v="1706"/>
  </r>
  <r>
    <n v="7224"/>
    <s v="Pirelli"/>
    <s v="FR01"/>
    <n v="1318"/>
    <n v="109572"/>
    <s v="Liso"/>
    <n v="72852"/>
    <x v="0"/>
    <x v="0"/>
    <m/>
    <s v="VL-110L"/>
    <m/>
    <n v="19053"/>
    <n v="182424"/>
    <n v="1706"/>
  </r>
  <r>
    <n v="7225"/>
    <s v="Pirelli"/>
    <s v="FR01"/>
    <n v="1318"/>
    <n v="69976"/>
    <s v="s/ dados"/>
    <m/>
    <x v="2"/>
    <x v="1"/>
    <m/>
    <m/>
    <m/>
    <m/>
    <n v="69976"/>
    <n v="1706"/>
  </r>
  <r>
    <n v="7226"/>
    <s v="Pirelli"/>
    <s v="FR01"/>
    <n v="1318"/>
    <n v="69976"/>
    <s v="s/ dados"/>
    <m/>
    <x v="2"/>
    <x v="1"/>
    <m/>
    <m/>
    <m/>
    <m/>
    <n v="69976"/>
    <n v="1706"/>
  </r>
  <r>
    <n v="7227"/>
    <s v="Pirelli"/>
    <s v="FR01"/>
    <n v="1118"/>
    <n v="81818"/>
    <s v="Desg. Irregular"/>
    <n v="44877"/>
    <x v="0"/>
    <x v="5"/>
    <m/>
    <m/>
    <m/>
    <s v="Sucata"/>
    <n v="126695"/>
    <n v="1706"/>
  </r>
  <r>
    <n v="7228"/>
    <s v="Pirelli"/>
    <s v="FR01"/>
    <n v="1418"/>
    <n v="86077"/>
    <s v="Liso"/>
    <n v="2914"/>
    <x v="0"/>
    <x v="4"/>
    <m/>
    <m/>
    <m/>
    <m/>
    <n v="88991"/>
    <n v="1706"/>
  </r>
  <r>
    <n v="7245"/>
    <s v="Pirelli"/>
    <s v="MC01"/>
    <n v="1918"/>
    <n v="121944"/>
    <s v="Liso"/>
    <n v="56305"/>
    <x v="0"/>
    <x v="2"/>
    <m/>
    <m/>
    <m/>
    <s v="Sucata"/>
    <n v="178249"/>
    <n v="1706"/>
  </r>
  <r>
    <n v="7246"/>
    <s v="Pirelli"/>
    <s v="MC01"/>
    <n v="1918"/>
    <n v="121944"/>
    <s v="Liso"/>
    <n v="59181"/>
    <x v="0"/>
    <x v="3"/>
    <m/>
    <m/>
    <m/>
    <s v="Sucata"/>
    <n v="181125"/>
    <n v="1706"/>
  </r>
  <r>
    <n v="7247"/>
    <s v="Pirelli"/>
    <s v="MC01"/>
    <n v="1918"/>
    <n v="30940"/>
    <s v="s/ dados"/>
    <m/>
    <x v="2"/>
    <x v="1"/>
    <m/>
    <m/>
    <m/>
    <m/>
    <n v="30940"/>
    <n v="1706"/>
  </r>
  <r>
    <n v="7248"/>
    <s v="Pirelli"/>
    <s v="MC01"/>
    <n v="1918"/>
    <n v="30940"/>
    <s v="s/ dados"/>
    <m/>
    <x v="2"/>
    <x v="1"/>
    <m/>
    <m/>
    <m/>
    <m/>
    <n v="30940"/>
    <n v="1706"/>
  </r>
  <r>
    <n v="7255"/>
    <s v="Pirelli"/>
    <s v="MC01"/>
    <n v="2718"/>
    <n v="112115"/>
    <s v="Liso"/>
    <n v="2914"/>
    <x v="0"/>
    <x v="4"/>
    <m/>
    <m/>
    <m/>
    <m/>
    <n v="115029"/>
    <n v="1454"/>
  </r>
  <r>
    <n v="7256"/>
    <s v="Pirelli"/>
    <s v="MC01"/>
    <n v="2718"/>
    <n v="112115"/>
    <s v="Liso"/>
    <n v="2620"/>
    <x v="0"/>
    <x v="4"/>
    <m/>
    <m/>
    <m/>
    <m/>
    <n v="114735"/>
    <n v="1454"/>
  </r>
  <r>
    <n v="7257"/>
    <s v="Pirelli"/>
    <s v="MC01"/>
    <n v="3318"/>
    <n v="31742"/>
    <s v="s/ dados"/>
    <m/>
    <x v="2"/>
    <x v="1"/>
    <m/>
    <m/>
    <m/>
    <m/>
    <n v="31742"/>
    <n v="1454"/>
  </r>
  <r>
    <n v="7258"/>
    <s v="Pirelli"/>
    <s v="MC01"/>
    <n v="2718"/>
    <n v="31742"/>
    <s v="s/ dados"/>
    <m/>
    <x v="2"/>
    <x v="1"/>
    <m/>
    <m/>
    <m/>
    <m/>
    <n v="31742"/>
    <n v="1454"/>
  </r>
  <r>
    <n v="7259"/>
    <s v="Pirelli"/>
    <s v="MC01"/>
    <n v="2718"/>
    <n v="100234"/>
    <s v="Furado"/>
    <n v="70037"/>
    <x v="0"/>
    <x v="0"/>
    <n v="44979"/>
    <s v="VL-110L"/>
    <s v="Liso"/>
    <s v="Sucata"/>
    <n v="215250"/>
    <n v="1454"/>
  </r>
  <r>
    <n v="7260"/>
    <s v="Pirelli"/>
    <s v="MC01"/>
    <n v="2718"/>
    <n v="14035"/>
    <s v="s/ dados"/>
    <m/>
    <x v="2"/>
    <x v="1"/>
    <m/>
    <m/>
    <m/>
    <m/>
    <n v="14035"/>
    <n v="1454"/>
  </r>
  <r>
    <n v="7261"/>
    <s v="Pirelli"/>
    <s v="MC01"/>
    <n v="3118"/>
    <n v="40446"/>
    <s v="s/ dados"/>
    <m/>
    <x v="2"/>
    <x v="1"/>
    <m/>
    <m/>
    <m/>
    <m/>
    <n v="40446"/>
    <n v="1454"/>
  </r>
  <r>
    <n v="7262"/>
    <s v="Pirelli"/>
    <s v="MC01"/>
    <n v="2718"/>
    <n v="40446"/>
    <s v="s/ dados"/>
    <m/>
    <x v="2"/>
    <x v="1"/>
    <m/>
    <m/>
    <m/>
    <m/>
    <n v="40446"/>
    <n v="1454"/>
  </r>
  <r>
    <n v="7275"/>
    <s v="Pirelli"/>
    <s v="MC01"/>
    <n v="3918"/>
    <n v="35687"/>
    <s v="s/ dados"/>
    <m/>
    <x v="2"/>
    <x v="1"/>
    <m/>
    <m/>
    <m/>
    <m/>
    <n v="35687"/>
    <n v="1454"/>
  </r>
  <r>
    <n v="7276"/>
    <s v="Pirelli"/>
    <s v="MC01"/>
    <n v="3918"/>
    <n v="35687"/>
    <s v="s/ dados"/>
    <m/>
    <x v="2"/>
    <x v="1"/>
    <m/>
    <m/>
    <m/>
    <m/>
    <n v="35687"/>
    <n v="1454"/>
  </r>
  <r>
    <n v="7277"/>
    <s v="Pirelli"/>
    <s v="MC01"/>
    <n v="3918"/>
    <n v="34038"/>
    <s v="s/ dados"/>
    <m/>
    <x v="2"/>
    <x v="1"/>
    <m/>
    <m/>
    <m/>
    <m/>
    <n v="34038"/>
    <n v="1454"/>
  </r>
  <r>
    <n v="7278"/>
    <s v="Pirelli"/>
    <s v="MC01"/>
    <n v="3918"/>
    <n v="34038"/>
    <s v="s/ dados"/>
    <m/>
    <x v="2"/>
    <x v="1"/>
    <m/>
    <m/>
    <m/>
    <m/>
    <n v="34038"/>
    <n v="1454"/>
  </r>
  <r>
    <n v="7279"/>
    <s v="Pirelli"/>
    <s v="MC01"/>
    <n v="3918"/>
    <n v="106649"/>
    <s v="Liso"/>
    <m/>
    <x v="2"/>
    <x v="2"/>
    <m/>
    <m/>
    <m/>
    <s v="Sucata"/>
    <n v="106649"/>
    <n v="1454"/>
  </r>
  <r>
    <n v="7280"/>
    <s v="Pirelli"/>
    <s v="MC01"/>
    <n v="3918"/>
    <n v="23978"/>
    <s v="s/ dados"/>
    <m/>
    <x v="2"/>
    <x v="1"/>
    <m/>
    <m/>
    <m/>
    <m/>
    <n v="23978"/>
    <n v="1454"/>
  </r>
  <r>
    <n v="7281"/>
    <s v="Pirelli"/>
    <s v="MC01"/>
    <n v="3918"/>
    <n v="5765"/>
    <s v="Furado"/>
    <m/>
    <x v="2"/>
    <x v="1"/>
    <m/>
    <m/>
    <m/>
    <s v="Sucata"/>
    <n v="5765"/>
    <n v="1454"/>
  </r>
  <r>
    <n v="7282"/>
    <s v="Pirelli"/>
    <s v="MC01"/>
    <n v="3918"/>
    <n v="98201"/>
    <s v="Liso"/>
    <n v="51441"/>
    <x v="0"/>
    <x v="1"/>
    <m/>
    <m/>
    <m/>
    <s v="Estoque"/>
    <n v="149642"/>
    <n v="1454"/>
  </r>
  <r>
    <n v="7289"/>
    <s v="Michelin"/>
    <s v="X-incity"/>
    <n v="3818"/>
    <n v="84283"/>
    <s v="Liso"/>
    <n v="104820"/>
    <x v="5"/>
    <x v="0"/>
    <m/>
    <s v="DVR-M"/>
    <m/>
    <n v="19056"/>
    <n v="189103"/>
    <n v="1635"/>
  </r>
  <r>
    <n v="7290"/>
    <s v="Michelin"/>
    <s v="X-incity"/>
    <n v="3818"/>
    <n v="80224"/>
    <s v="Liso"/>
    <m/>
    <x v="2"/>
    <x v="2"/>
    <m/>
    <m/>
    <m/>
    <s v="Sucata"/>
    <n v="80224"/>
    <n v="1635"/>
  </r>
  <r>
    <n v="7291"/>
    <s v="Michelin"/>
    <s v="X-incity"/>
    <n v="3818"/>
    <n v="40328"/>
    <s v="s/ dados"/>
    <m/>
    <x v="2"/>
    <x v="1"/>
    <m/>
    <m/>
    <m/>
    <m/>
    <n v="40328"/>
    <n v="1635"/>
  </r>
  <r>
    <n v="7292"/>
    <s v="Michelin"/>
    <s v="X-incity"/>
    <n v="3818"/>
    <n v="40328"/>
    <s v="s/ dados"/>
    <m/>
    <x v="2"/>
    <x v="1"/>
    <m/>
    <m/>
    <m/>
    <m/>
    <n v="40328"/>
    <n v="1635"/>
  </r>
  <r>
    <n v="7303"/>
    <s v="Michelin"/>
    <s v="X-incity"/>
    <n v="3118"/>
    <n v="73128"/>
    <s v="Liso"/>
    <n v="108852"/>
    <x v="5"/>
    <x v="0"/>
    <m/>
    <m/>
    <m/>
    <s v="Sucata"/>
    <n v="181980"/>
    <n v="1635"/>
  </r>
  <r>
    <n v="7304"/>
    <s v="Michelin"/>
    <s v="X-incity"/>
    <n v="3118"/>
    <n v="73128"/>
    <s v="Liso"/>
    <n v="120966"/>
    <x v="5"/>
    <x v="0"/>
    <m/>
    <m/>
    <m/>
    <n v="19054"/>
    <n v="194094"/>
    <n v="1635"/>
  </r>
  <r>
    <n v="7305"/>
    <s v="Michelin"/>
    <s v="X-incity"/>
    <n v="3118"/>
    <n v="74139"/>
    <s v="Liso"/>
    <n v="132491"/>
    <x v="5"/>
    <x v="0"/>
    <m/>
    <m/>
    <m/>
    <s v="Sucata"/>
    <n v="206630"/>
    <n v="1635"/>
  </r>
  <r>
    <n v="7306"/>
    <s v="Michelin"/>
    <s v="X-incity"/>
    <n v="3118"/>
    <n v="77279"/>
    <s v="s/ dados"/>
    <m/>
    <x v="2"/>
    <x v="1"/>
    <m/>
    <m/>
    <m/>
    <m/>
    <n v="77279"/>
    <n v="1635"/>
  </r>
  <r>
    <n v="7307"/>
    <s v="Michelin"/>
    <s v="X-incity"/>
    <n v="3118"/>
    <n v="27954"/>
    <s v="s/ dados"/>
    <m/>
    <x v="2"/>
    <x v="1"/>
    <m/>
    <m/>
    <m/>
    <m/>
    <n v="27954"/>
    <n v="1635"/>
  </r>
  <r>
    <n v="7308"/>
    <s v="Michelin"/>
    <s v="X-incity"/>
    <n v="3118"/>
    <n v="27954"/>
    <s v="s/ dados"/>
    <m/>
    <x v="2"/>
    <x v="1"/>
    <m/>
    <m/>
    <m/>
    <m/>
    <n v="27954"/>
    <n v="1635"/>
  </r>
  <r>
    <n v="7309"/>
    <s v="Michelin"/>
    <s v="X-incity"/>
    <n v="2918"/>
    <n v="78236"/>
    <s v="Liso"/>
    <m/>
    <x v="5"/>
    <x v="4"/>
    <m/>
    <m/>
    <m/>
    <n v="9004"/>
    <n v="78236"/>
    <n v="1635"/>
  </r>
  <r>
    <n v="7310"/>
    <s v="Michelin"/>
    <s v="X-incity"/>
    <n v="3118"/>
    <n v="75096"/>
    <s v="Furado"/>
    <n v="102178"/>
    <x v="5"/>
    <x v="3"/>
    <m/>
    <m/>
    <m/>
    <s v="Conserto"/>
    <n v="177274"/>
    <n v="1635"/>
  </r>
  <r>
    <n v="7339"/>
    <s v="Michelin"/>
    <s v="X-incity"/>
    <n v="519"/>
    <n v="91414"/>
    <s v="Liso"/>
    <n v="123657"/>
    <x v="5"/>
    <x v="0"/>
    <m/>
    <s v="X-Incity"/>
    <m/>
    <s v="Estoque"/>
    <n v="215071"/>
    <n v="1635"/>
  </r>
  <r>
    <n v="7340"/>
    <s v="Michelin"/>
    <s v="X-incity"/>
    <n v="519"/>
    <n v="91414"/>
    <s v="Liso"/>
    <n v="70361"/>
    <x v="5"/>
    <x v="3"/>
    <m/>
    <m/>
    <m/>
    <s v="Sucata"/>
    <n v="161775"/>
    <n v="1635"/>
  </r>
  <r>
    <n v="7341"/>
    <s v="Michelin"/>
    <s v="X-incity"/>
    <n v="519"/>
    <n v="14645"/>
    <s v="s/ dados"/>
    <m/>
    <x v="2"/>
    <x v="1"/>
    <m/>
    <m/>
    <m/>
    <m/>
    <n v="14645"/>
    <n v="1635"/>
  </r>
  <r>
    <n v="7342"/>
    <s v="Michelin"/>
    <s v="X-incity"/>
    <n v="519"/>
    <n v="14645"/>
    <s v="s/ dados"/>
    <m/>
    <x v="2"/>
    <x v="1"/>
    <m/>
    <m/>
    <m/>
    <m/>
    <n v="14645"/>
    <n v="1635"/>
  </r>
  <r>
    <n v="7343"/>
    <s v="Michelin"/>
    <s v="X-incity"/>
    <n v="519"/>
    <n v="103272"/>
    <s v="Liso"/>
    <n v="114068"/>
    <x v="5"/>
    <x v="0"/>
    <m/>
    <s v="DVR-M"/>
    <m/>
    <n v="19056"/>
    <n v="217340"/>
    <n v="1635"/>
  </r>
  <r>
    <n v="7344"/>
    <s v="Michelin"/>
    <s v="X-incity"/>
    <n v="519"/>
    <n v="116419"/>
    <s v="Liso"/>
    <m/>
    <x v="2"/>
    <x v="1"/>
    <m/>
    <m/>
    <m/>
    <n v="19060"/>
    <n v="116419"/>
    <n v="1635"/>
  </r>
  <r>
    <n v="7345"/>
    <s v="Michelin"/>
    <s v="X-incity"/>
    <n v="519"/>
    <n v="17644"/>
    <s v="s/ dados"/>
    <m/>
    <x v="2"/>
    <x v="1"/>
    <m/>
    <m/>
    <m/>
    <m/>
    <n v="17644"/>
    <n v="1635"/>
  </r>
  <r>
    <n v="7346"/>
    <s v="Michelin"/>
    <s v="X-incity"/>
    <n v="519"/>
    <n v="17644"/>
    <s v="s/ dados"/>
    <m/>
    <x v="2"/>
    <x v="1"/>
    <m/>
    <m/>
    <m/>
    <m/>
    <n v="17644"/>
    <n v="1635"/>
  </r>
  <r>
    <n v="7389"/>
    <s v="Michelin"/>
    <s v="X-incity"/>
    <n v="1419"/>
    <n v="5904"/>
    <s v="s/ dados"/>
    <m/>
    <x v="2"/>
    <x v="1"/>
    <m/>
    <m/>
    <m/>
    <m/>
    <n v="5904"/>
    <n v="1635"/>
  </r>
  <r>
    <n v="7390"/>
    <s v="Michelin"/>
    <s v="X-incity"/>
    <n v="1419"/>
    <n v="5904"/>
    <s v="s/ dados"/>
    <m/>
    <x v="2"/>
    <x v="1"/>
    <m/>
    <m/>
    <m/>
    <m/>
    <n v="5904"/>
    <n v="1635"/>
  </r>
  <r>
    <n v="7391"/>
    <s v="Michelin"/>
    <s v="X-incity"/>
    <n v="1419"/>
    <n v="14098"/>
    <s v="s/ dados"/>
    <m/>
    <x v="2"/>
    <x v="1"/>
    <m/>
    <m/>
    <m/>
    <m/>
    <n v="14098"/>
    <n v="1635"/>
  </r>
  <r>
    <n v="7392"/>
    <s v="Michelin"/>
    <s v="X-incity"/>
    <n v="1419"/>
    <n v="14098"/>
    <s v="s/ dados"/>
    <m/>
    <x v="2"/>
    <x v="1"/>
    <m/>
    <m/>
    <m/>
    <m/>
    <n v="14098"/>
    <n v="1635"/>
  </r>
  <r>
    <n v="7393"/>
    <s v="Michelin"/>
    <s v="X-incity"/>
    <n v="1419"/>
    <n v="82001"/>
    <s v="Liso"/>
    <m/>
    <x v="5"/>
    <x v="4"/>
    <m/>
    <m/>
    <m/>
    <n v="9004"/>
    <n v="82001"/>
    <n v="1766"/>
  </r>
  <r>
    <n v="7394"/>
    <s v="Michelin"/>
    <s v="X-incity"/>
    <n v="1419"/>
    <n v="82001"/>
    <s v="Liso"/>
    <m/>
    <x v="5"/>
    <x v="1"/>
    <m/>
    <m/>
    <m/>
    <n v="8005"/>
    <n v="82001"/>
    <n v="1766"/>
  </r>
  <r>
    <n v="7395"/>
    <s v="Michelin"/>
    <s v="X-incity"/>
    <n v="1219"/>
    <n v="83619"/>
    <s v="Liso"/>
    <m/>
    <x v="5"/>
    <x v="1"/>
    <m/>
    <m/>
    <m/>
    <n v="8005"/>
    <n v="83619"/>
    <n v="1766"/>
  </r>
  <r>
    <n v="7396"/>
    <s v="Michelin"/>
    <s v="X-incity"/>
    <n v="1219"/>
    <n v="91767"/>
    <s v="Furado"/>
    <m/>
    <x v="5"/>
    <x v="1"/>
    <m/>
    <m/>
    <m/>
    <n v="19054"/>
    <n v="91767"/>
    <n v="1766"/>
  </r>
  <r>
    <n v="7397"/>
    <s v="Michelin"/>
    <s v="X-incity"/>
    <n v="1219"/>
    <n v="89348"/>
    <s v="Liso"/>
    <m/>
    <x v="0"/>
    <x v="1"/>
    <m/>
    <m/>
    <m/>
    <n v="19052"/>
    <n v="89348"/>
    <n v="1766"/>
  </r>
  <r>
    <n v="7398"/>
    <s v="Michelin"/>
    <s v="X-incity"/>
    <n v="1219"/>
    <n v="89229"/>
    <s v="Liso"/>
    <m/>
    <x v="5"/>
    <x v="1"/>
    <m/>
    <m/>
    <m/>
    <n v="19054"/>
    <n v="89229"/>
    <n v="1766"/>
  </r>
  <r>
    <n v="7399"/>
    <s v="Michelin"/>
    <s v="X-incity"/>
    <n v="1419"/>
    <n v="19344"/>
    <s v="s/ dados"/>
    <m/>
    <x v="2"/>
    <x v="1"/>
    <m/>
    <m/>
    <m/>
    <m/>
    <n v="19344"/>
    <n v="1766"/>
  </r>
  <r>
    <n v="7400"/>
    <s v="Michelin"/>
    <s v="X-incity"/>
    <n v="1419"/>
    <n v="19344"/>
    <s v="s/ dados"/>
    <m/>
    <x v="2"/>
    <x v="1"/>
    <m/>
    <m/>
    <m/>
    <m/>
    <n v="19344"/>
    <n v="1766"/>
  </r>
  <r>
    <n v="7431"/>
    <s v="Michelin"/>
    <s v="X-incity"/>
    <n v="2219"/>
    <n v="23264"/>
    <s v="s/ dados"/>
    <m/>
    <x v="2"/>
    <x v="1"/>
    <m/>
    <m/>
    <m/>
    <m/>
    <n v="23264"/>
    <n v="1766"/>
  </r>
  <r>
    <n v="7432"/>
    <s v="Michelin"/>
    <s v="X-incity"/>
    <n v="2219"/>
    <n v="23264"/>
    <s v="s/ dados"/>
    <m/>
    <x v="2"/>
    <x v="1"/>
    <m/>
    <m/>
    <m/>
    <m/>
    <n v="23264"/>
    <n v="1766"/>
  </r>
  <r>
    <n v="7433"/>
    <s v="Michelin"/>
    <s v="X-incity"/>
    <n v="2319"/>
    <n v="113354"/>
    <s v="Liso"/>
    <m/>
    <x v="0"/>
    <x v="1"/>
    <m/>
    <m/>
    <m/>
    <n v="19060"/>
    <n v="113354"/>
    <n v="1766"/>
  </r>
  <r>
    <n v="7434"/>
    <s v="Michelin"/>
    <s v="X-incity"/>
    <n v="2319"/>
    <n v="113354"/>
    <s v="Liso"/>
    <m/>
    <x v="0"/>
    <x v="1"/>
    <m/>
    <m/>
    <m/>
    <n v="19060"/>
    <n v="113354"/>
    <n v="1766"/>
  </r>
  <r>
    <n v="7435"/>
    <s v="Michelin"/>
    <s v="X-incity"/>
    <n v="2219"/>
    <n v="103513"/>
    <s v="Liso"/>
    <m/>
    <x v="0"/>
    <x v="1"/>
    <m/>
    <m/>
    <m/>
    <n v="19060"/>
    <n v="103513"/>
    <n v="1766"/>
  </r>
  <r>
    <n v="7436"/>
    <s v="Michelin"/>
    <s v="X-incity"/>
    <n v="2219"/>
    <n v="92478"/>
    <s v="Liso"/>
    <m/>
    <x v="0"/>
    <x v="1"/>
    <m/>
    <m/>
    <m/>
    <n v="19052"/>
    <n v="92478"/>
    <n v="1766"/>
  </r>
  <r>
    <n v="7453"/>
    <s v="Bridgestone"/>
    <s v="R163"/>
    <n v="919"/>
    <n v="75819"/>
    <s v="Liso"/>
    <n v="46269"/>
    <x v="0"/>
    <x v="3"/>
    <m/>
    <m/>
    <m/>
    <s v="Sucata"/>
    <n v="122088"/>
    <n v="1766"/>
  </r>
  <r>
    <n v="7454"/>
    <s v="Bridgestone"/>
    <s v="R163"/>
    <n v="219"/>
    <n v="41688"/>
    <s v="Furado"/>
    <n v="106603"/>
    <x v="0"/>
    <x v="0"/>
    <m/>
    <m/>
    <m/>
    <s v="Estoque"/>
    <n v="148291"/>
    <n v="1766"/>
  </r>
  <r>
    <n v="7455"/>
    <s v="Bridgestone"/>
    <s v="R163"/>
    <n v="619"/>
    <n v="91464"/>
    <s v="Liso"/>
    <n v="79507"/>
    <x v="0"/>
    <x v="0"/>
    <m/>
    <m/>
    <m/>
    <m/>
    <n v="170971"/>
    <n v="1766"/>
  </r>
  <r>
    <n v="7456"/>
    <s v="Bridgestone"/>
    <s v="R163"/>
    <n v="919"/>
    <n v="91464"/>
    <s v="Liso"/>
    <n v="75504"/>
    <x v="0"/>
    <x v="0"/>
    <m/>
    <m/>
    <m/>
    <m/>
    <n v="166968"/>
    <n v="1766"/>
  </r>
  <r>
    <n v="7457"/>
    <s v="Bridgestone"/>
    <s v="R163"/>
    <n v="919"/>
    <n v="91464"/>
    <s v="Liso"/>
    <n v="90147"/>
    <x v="0"/>
    <x v="0"/>
    <m/>
    <m/>
    <m/>
    <m/>
    <n v="181611"/>
    <n v="1766"/>
  </r>
  <r>
    <n v="7458"/>
    <s v="Bridgestone"/>
    <s v="R163"/>
    <n v="919"/>
    <n v="91464"/>
    <s v="Liso"/>
    <n v="79507"/>
    <x v="0"/>
    <x v="0"/>
    <m/>
    <m/>
    <m/>
    <m/>
    <n v="170971"/>
    <n v="1766"/>
  </r>
  <r>
    <n v="7459"/>
    <s v="Michelin"/>
    <s v="X-incity"/>
    <n v="1319"/>
    <n v="89435"/>
    <s v="Liso"/>
    <m/>
    <x v="5"/>
    <x v="1"/>
    <m/>
    <m/>
    <m/>
    <n v="19057"/>
    <n v="89435"/>
    <n v="1766"/>
  </r>
  <r>
    <n v="7460"/>
    <s v="Michelin"/>
    <s v="X-incity"/>
    <n v="1319"/>
    <n v="96890"/>
    <s v="Liso"/>
    <m/>
    <x v="5"/>
    <x v="1"/>
    <m/>
    <m/>
    <m/>
    <n v="19054"/>
    <n v="96890"/>
    <n v="1766"/>
  </r>
  <r>
    <n v="7461"/>
    <s v="Michelin"/>
    <s v="X-incity"/>
    <n v="1519"/>
    <n v="98225"/>
    <s v="Liso"/>
    <n v="96797"/>
    <x v="5"/>
    <x v="3"/>
    <m/>
    <m/>
    <m/>
    <s v="Sucata"/>
    <n v="195022"/>
    <n v="1766"/>
  </r>
  <r>
    <n v="7462"/>
    <s v="Michelin"/>
    <s v="X-incity"/>
    <n v="1319"/>
    <n v="85010"/>
    <s v="Liso"/>
    <m/>
    <x v="5"/>
    <x v="1"/>
    <m/>
    <m/>
    <m/>
    <n v="19058"/>
    <n v="85010"/>
    <n v="1766"/>
  </r>
  <r>
    <n v="7463"/>
    <s v="Michelin"/>
    <s v="X-incity"/>
    <n v="1319"/>
    <n v="98225"/>
    <s v="Liso"/>
    <m/>
    <x v="5"/>
    <x v="1"/>
    <m/>
    <m/>
    <m/>
    <n v="19057"/>
    <n v="98225"/>
    <n v="1766"/>
  </r>
  <r>
    <n v="7464"/>
    <s v="Michelin"/>
    <s v="X-incity"/>
    <n v="1319"/>
    <n v="88406"/>
    <s v="Liso"/>
    <n v="83446"/>
    <x v="0"/>
    <x v="0"/>
    <n v="32906"/>
    <s v="VL-110L"/>
    <s v="Infiltração"/>
    <s v="Sucata"/>
    <n v="204758"/>
    <n v="1766"/>
  </r>
  <r>
    <n v="7465"/>
    <s v="Goodyear"/>
    <s v="CityMax"/>
    <n v="819"/>
    <n v="112510"/>
    <s v="Liso"/>
    <m/>
    <x v="0"/>
    <x v="1"/>
    <m/>
    <m/>
    <m/>
    <n v="19052"/>
    <n v="112510"/>
    <n v="1766"/>
  </r>
  <r>
    <n v="7466"/>
    <s v="Goodyear"/>
    <s v="CityMax"/>
    <n v="719"/>
    <n v="91905"/>
    <s v="Desg. Irregular"/>
    <n v="60511"/>
    <x v="0"/>
    <x v="2"/>
    <m/>
    <m/>
    <m/>
    <s v="Sucata"/>
    <n v="152416"/>
    <n v="1766"/>
  </r>
  <r>
    <n v="7467"/>
    <s v="Goodyear"/>
    <s v="CityMax"/>
    <n v="819"/>
    <n v="96162"/>
    <s v="Liso"/>
    <n v="67610"/>
    <x v="0"/>
    <x v="0"/>
    <n v="36583"/>
    <s v="VL-110L"/>
    <s v="Corte lateral"/>
    <s v="Sucata"/>
    <n v="200355"/>
    <n v="1766"/>
  </r>
  <r>
    <n v="7468"/>
    <s v="Goodyear"/>
    <s v="CityMax"/>
    <n v="819"/>
    <n v="96162"/>
    <s v="Liso"/>
    <n v="44106"/>
    <x v="0"/>
    <x v="2"/>
    <m/>
    <m/>
    <m/>
    <s v="Sucata"/>
    <n v="140268"/>
    <n v="1766"/>
  </r>
  <r>
    <n v="7469"/>
    <s v="Goodyear"/>
    <s v="CityMax"/>
    <n v="819"/>
    <n v="96162"/>
    <s v="Liso"/>
    <n v="67722"/>
    <x v="0"/>
    <x v="0"/>
    <m/>
    <m/>
    <m/>
    <m/>
    <n v="163884"/>
    <n v="1766"/>
  </r>
  <r>
    <n v="7470"/>
    <s v="Goodyear"/>
    <s v="CityMax"/>
    <n v="1519"/>
    <n v="96162"/>
    <s v="Liso"/>
    <m/>
    <x v="2"/>
    <x v="1"/>
    <m/>
    <m/>
    <m/>
    <s v="Sucata"/>
    <n v="96162"/>
    <n v="1766"/>
  </r>
  <r>
    <n v="7471"/>
    <s v="Michelin"/>
    <s v="X-incity"/>
    <n v="1319"/>
    <n v="93978"/>
    <s v="Liso"/>
    <m/>
    <x v="2"/>
    <x v="4"/>
    <m/>
    <m/>
    <m/>
    <n v="103"/>
    <n v="93978"/>
    <n v="1766"/>
  </r>
  <r>
    <n v="7472"/>
    <s v="Michelin"/>
    <s v="X-incity"/>
    <n v="1319"/>
    <n v="93510"/>
    <s v="Liso"/>
    <n v="63816"/>
    <x v="5"/>
    <x v="1"/>
    <m/>
    <m/>
    <m/>
    <s v="Estoque"/>
    <n v="157326"/>
    <n v="1766"/>
  </r>
  <r>
    <n v="7473"/>
    <s v="Michelin"/>
    <s v="X-incity"/>
    <n v="1319"/>
    <n v="96747"/>
    <s v="Liso"/>
    <m/>
    <x v="0"/>
    <x v="1"/>
    <m/>
    <m/>
    <m/>
    <n v="19056"/>
    <n v="96747"/>
    <n v="1766"/>
  </r>
  <r>
    <n v="7474"/>
    <s v="Michelin"/>
    <s v="X-incity"/>
    <n v="1319"/>
    <n v="79693"/>
    <s v="Liso"/>
    <n v="83758"/>
    <x v="0"/>
    <x v="0"/>
    <m/>
    <s v="VL-110L"/>
    <s v="Infiltração"/>
    <s v="Sucata"/>
    <n v="163451"/>
    <n v="1766"/>
  </r>
  <r>
    <n v="7475"/>
    <s v="Michelin"/>
    <s v="X-incity"/>
    <n v="1319"/>
    <n v="41081"/>
    <s v="s/ dados"/>
    <m/>
    <x v="2"/>
    <x v="1"/>
    <m/>
    <m/>
    <m/>
    <m/>
    <n v="41081"/>
    <n v="1766"/>
  </r>
  <r>
    <n v="7476"/>
    <s v="Michelin"/>
    <s v="X-incity"/>
    <n v="1319"/>
    <n v="41081"/>
    <s v="s/ dados"/>
    <m/>
    <x v="2"/>
    <x v="1"/>
    <m/>
    <m/>
    <m/>
    <m/>
    <n v="41081"/>
    <n v="1766"/>
  </r>
  <r>
    <n v="7477"/>
    <s v="Michelin"/>
    <s v="X-incity"/>
    <n v="1619"/>
    <n v="95114"/>
    <s v="Liso"/>
    <n v="84512"/>
    <x v="5"/>
    <x v="2"/>
    <m/>
    <m/>
    <m/>
    <s v="Sucata"/>
    <n v="179626"/>
    <n v="1766"/>
  </r>
  <r>
    <n v="7478"/>
    <s v="Michelin"/>
    <s v="X-incity"/>
    <n v="1519"/>
    <n v="95214"/>
    <s v="Liso"/>
    <n v="108108"/>
    <x v="5"/>
    <x v="0"/>
    <m/>
    <m/>
    <m/>
    <s v="Sucata"/>
    <n v="203322"/>
    <n v="1766"/>
  </r>
  <r>
    <n v="7479"/>
    <s v="Michelin"/>
    <s v="X-incity"/>
    <n v="1519"/>
    <n v="98277"/>
    <s v="Liso"/>
    <n v="18802"/>
    <x v="5"/>
    <x v="2"/>
    <m/>
    <m/>
    <m/>
    <s v="Sucata"/>
    <n v="117079"/>
    <n v="1766"/>
  </r>
  <r>
    <n v="7480"/>
    <s v="Michelin"/>
    <s v="X-incity"/>
    <n v="1519"/>
    <n v="95673"/>
    <s v="Liso"/>
    <m/>
    <x v="0"/>
    <x v="1"/>
    <m/>
    <m/>
    <m/>
    <n v="8008"/>
    <n v="95673"/>
    <n v="1766"/>
  </r>
  <r>
    <n v="7481"/>
    <s v="Michelin"/>
    <s v="X-incity"/>
    <n v="1519"/>
    <n v="98277"/>
    <s v="Liso"/>
    <n v="123657"/>
    <x v="5"/>
    <x v="0"/>
    <m/>
    <s v="X-Incity"/>
    <m/>
    <s v="Estoque"/>
    <n v="221934"/>
    <n v="1766"/>
  </r>
  <r>
    <n v="7482"/>
    <s v="Michelin"/>
    <s v="X-incity"/>
    <n v="1619"/>
    <n v="98277"/>
    <s v="Liso"/>
    <n v="120799"/>
    <x v="5"/>
    <x v="0"/>
    <m/>
    <m/>
    <m/>
    <s v="Estoque"/>
    <n v="219076"/>
    <n v="1766"/>
  </r>
  <r>
    <n v="7483"/>
    <s v="Michelin"/>
    <s v="X-incity"/>
    <n v="1319"/>
    <n v="110057"/>
    <s v="Liso"/>
    <m/>
    <x v="2"/>
    <x v="4"/>
    <m/>
    <m/>
    <m/>
    <n v="9004"/>
    <n v="110057"/>
    <n v="1766"/>
  </r>
  <r>
    <n v="7484"/>
    <s v="Michelin"/>
    <s v="X-incity"/>
    <n v="1319"/>
    <n v="13224"/>
    <s v="s/ dados"/>
    <n v="19929"/>
    <x v="5"/>
    <x v="1"/>
    <m/>
    <m/>
    <m/>
    <m/>
    <n v="33153"/>
    <n v="1766"/>
  </r>
  <r>
    <n v="7485"/>
    <s v="Michelin"/>
    <s v="X-incity"/>
    <n v="1319"/>
    <n v="109605"/>
    <s v="Liso"/>
    <m/>
    <x v="5"/>
    <x v="4"/>
    <m/>
    <m/>
    <m/>
    <n v="9004"/>
    <n v="109605"/>
    <n v="1766"/>
  </r>
  <r>
    <n v="7486"/>
    <s v="Michelin"/>
    <s v="X-incity"/>
    <n v="1319"/>
    <n v="99035"/>
    <s v="Liso"/>
    <m/>
    <x v="5"/>
    <x v="1"/>
    <m/>
    <m/>
    <m/>
    <n v="19057"/>
    <n v="99035"/>
    <n v="1766"/>
  </r>
  <r>
    <n v="7487"/>
    <s v="Michelin"/>
    <s v="X-incity"/>
    <n v="1319"/>
    <n v="99035"/>
    <s v="Liso"/>
    <m/>
    <x v="2"/>
    <x v="2"/>
    <m/>
    <m/>
    <m/>
    <s v="Sucata"/>
    <n v="99035"/>
    <n v="1766"/>
  </r>
  <r>
    <n v="7488"/>
    <s v="Michelin"/>
    <s v="X-incity"/>
    <n v="1319"/>
    <n v="99035"/>
    <s v="Liso"/>
    <n v="97512"/>
    <x v="5"/>
    <x v="6"/>
    <m/>
    <m/>
    <m/>
    <s v="Estoque"/>
    <n v="196547"/>
    <n v="1766"/>
  </r>
  <r>
    <n v="7489"/>
    <s v="Michelin"/>
    <s v="X-incity"/>
    <n v="1319"/>
    <n v="21595"/>
    <s v="s/ dados"/>
    <n v="32467"/>
    <x v="5"/>
    <x v="1"/>
    <m/>
    <m/>
    <m/>
    <m/>
    <n v="54062"/>
    <n v="1766"/>
  </r>
  <r>
    <n v="7490"/>
    <s v="Michelin"/>
    <s v="X-incity"/>
    <n v="1319"/>
    <n v="26649"/>
    <s v="s/ dados"/>
    <n v="19275"/>
    <x v="5"/>
    <x v="1"/>
    <m/>
    <m/>
    <m/>
    <m/>
    <n v="45924"/>
    <n v="1766"/>
  </r>
  <r>
    <n v="7491"/>
    <s v="Michelin"/>
    <s v="X-incity"/>
    <n v="1319"/>
    <n v="104079"/>
    <s v="Liso"/>
    <m/>
    <x v="5"/>
    <x v="1"/>
    <m/>
    <m/>
    <m/>
    <n v="8002"/>
    <n v="104079"/>
    <n v="1766"/>
  </r>
  <r>
    <n v="7492"/>
    <s v="Michelin"/>
    <s v="X-incity"/>
    <n v="1319"/>
    <n v="95515"/>
    <s v="Liso"/>
    <m/>
    <x v="5"/>
    <x v="1"/>
    <m/>
    <m/>
    <m/>
    <n v="8002"/>
    <n v="95515"/>
    <n v="1766"/>
  </r>
  <r>
    <n v="7493"/>
    <s v="Michelin"/>
    <s v="X-incity"/>
    <n v="1319"/>
    <n v="37475"/>
    <s v="s/ dados"/>
    <m/>
    <x v="2"/>
    <x v="1"/>
    <m/>
    <m/>
    <m/>
    <m/>
    <n v="37475"/>
    <n v="1766"/>
  </r>
  <r>
    <n v="7494"/>
    <s v="Michelin"/>
    <s v="X-incity"/>
    <n v="1319"/>
    <n v="37475"/>
    <s v="s/ dados"/>
    <m/>
    <x v="2"/>
    <x v="1"/>
    <m/>
    <m/>
    <m/>
    <m/>
    <n v="37475"/>
    <n v="1766"/>
  </r>
  <r>
    <n v="7495"/>
    <s v="Michelin"/>
    <s v="X-incity"/>
    <n v="1319"/>
    <n v="99602"/>
    <s v="Liso"/>
    <n v="71606"/>
    <x v="5"/>
    <x v="3"/>
    <m/>
    <m/>
    <m/>
    <s v="Sucata"/>
    <n v="171208"/>
    <n v="1766"/>
  </r>
  <r>
    <n v="7496"/>
    <s v="Michelin"/>
    <s v="X-incity"/>
    <n v="1319"/>
    <n v="111506"/>
    <s v="Liso"/>
    <m/>
    <x v="5"/>
    <x v="1"/>
    <m/>
    <m/>
    <m/>
    <n v="8002"/>
    <n v="111506"/>
    <n v="1766"/>
  </r>
  <r>
    <n v="7497"/>
    <s v="Michelin"/>
    <s v="X-incity"/>
    <n v="1319"/>
    <n v="76347"/>
    <s v="Liso"/>
    <n v="123294"/>
    <x v="5"/>
    <x v="0"/>
    <n v="10419"/>
    <s v="DVR-M"/>
    <s v="Corte lateral"/>
    <s v="Sucata"/>
    <n v="210060"/>
    <n v="1766"/>
  </r>
  <r>
    <n v="7498"/>
    <s v="Michelin"/>
    <s v="X-incity"/>
    <n v="1319"/>
    <n v="119645"/>
    <s v="Liso"/>
    <n v="98331"/>
    <x v="5"/>
    <x v="2"/>
    <m/>
    <m/>
    <m/>
    <s v="Sucata"/>
    <n v="217976"/>
    <n v="1766"/>
  </r>
  <r>
    <n v="7499"/>
    <s v="Michelin"/>
    <s v="X-incity"/>
    <n v="1319"/>
    <n v="115892"/>
    <s v="Liso"/>
    <m/>
    <x v="5"/>
    <x v="1"/>
    <m/>
    <m/>
    <m/>
    <n v="19055"/>
    <n v="115892"/>
    <n v="1766"/>
  </r>
  <r>
    <n v="7500"/>
    <s v="Michelin"/>
    <s v="X-incity"/>
    <n v="1319"/>
    <n v="98081"/>
    <s v="Liso"/>
    <n v="87911"/>
    <x v="5"/>
    <x v="3"/>
    <m/>
    <m/>
    <m/>
    <s v="Conserto"/>
    <n v="185992"/>
    <n v="1766"/>
  </r>
  <r>
    <n v="7501"/>
    <s v="Michelin"/>
    <s v="X-incity"/>
    <n v="1319"/>
    <n v="59816"/>
    <s v="s/ dados"/>
    <m/>
    <x v="2"/>
    <x v="1"/>
    <m/>
    <m/>
    <m/>
    <m/>
    <n v="59816"/>
    <n v="1766"/>
  </r>
  <r>
    <n v="7502"/>
    <s v="Michelin"/>
    <s v="X-incity"/>
    <n v="1319"/>
    <n v="59816"/>
    <s v="s/ dados"/>
    <m/>
    <x v="2"/>
    <x v="1"/>
    <m/>
    <m/>
    <m/>
    <m/>
    <n v="59816"/>
    <n v="1766"/>
  </r>
  <r>
    <n v="7503"/>
    <s v="Michelin"/>
    <s v="X-incity"/>
    <n v="1319"/>
    <n v="103837"/>
    <s v="Liso"/>
    <m/>
    <x v="0"/>
    <x v="1"/>
    <m/>
    <m/>
    <m/>
    <n v="8008"/>
    <n v="103837"/>
    <n v="1766"/>
  </r>
  <r>
    <n v="7504"/>
    <s v="Michelin"/>
    <s v="X-incity"/>
    <n v="1319"/>
    <n v="98750"/>
    <s v="Liso"/>
    <m/>
    <x v="0"/>
    <x v="1"/>
    <m/>
    <m/>
    <m/>
    <n v="8008"/>
    <n v="98750"/>
    <n v="1766"/>
  </r>
  <r>
    <n v="7505"/>
    <s v="Michelin"/>
    <s v="X-incity"/>
    <n v="1319"/>
    <n v="92472"/>
    <s v="Liso"/>
    <m/>
    <x v="5"/>
    <x v="1"/>
    <m/>
    <m/>
    <m/>
    <n v="8005"/>
    <n v="92472"/>
    <n v="1766"/>
  </r>
  <r>
    <n v="7506"/>
    <s v="Michelin"/>
    <s v="X-incity"/>
    <n v="1319"/>
    <n v="100252"/>
    <s v="Liso"/>
    <m/>
    <x v="5"/>
    <x v="1"/>
    <m/>
    <m/>
    <m/>
    <n v="8005"/>
    <n v="100252"/>
    <n v="1766"/>
  </r>
  <r>
    <n v="7507"/>
    <s v="Goodyear"/>
    <s v="CityMax"/>
    <n v="1619"/>
    <n v="93985"/>
    <s v="Liso"/>
    <m/>
    <x v="0"/>
    <x v="1"/>
    <m/>
    <m/>
    <m/>
    <n v="8006"/>
    <n v="93985"/>
    <n v="1766"/>
  </r>
  <r>
    <n v="7508"/>
    <s v="Goodyear"/>
    <s v="CityMax"/>
    <n v="1619"/>
    <n v="93985"/>
    <s v="Liso"/>
    <m/>
    <x v="0"/>
    <x v="1"/>
    <m/>
    <m/>
    <m/>
    <n v="8006"/>
    <n v="93985"/>
    <n v="1766"/>
  </r>
  <r>
    <n v="7509"/>
    <s v="Goodyear"/>
    <s v="CityMax"/>
    <n v="1619"/>
    <n v="108715"/>
    <s v="Liso"/>
    <n v="10529"/>
    <x v="0"/>
    <x v="3"/>
    <m/>
    <m/>
    <m/>
    <s v="Sucata"/>
    <n v="119244"/>
    <n v="1766"/>
  </r>
  <r>
    <n v="7510"/>
    <s v="Goodyear"/>
    <s v="CityMax"/>
    <n v="1619"/>
    <n v="108715"/>
    <s v="Liso"/>
    <m/>
    <x v="0"/>
    <x v="1"/>
    <m/>
    <m/>
    <m/>
    <n v="8006"/>
    <n v="108715"/>
    <n v="1766"/>
  </r>
  <r>
    <n v="7511"/>
    <s v="Goodyear"/>
    <s v="CityMax"/>
    <n v="1619"/>
    <n v="87953"/>
    <s v="Liso"/>
    <n v="73118"/>
    <x v="0"/>
    <x v="0"/>
    <m/>
    <s v="VL-110L"/>
    <m/>
    <n v="19053"/>
    <n v="161071"/>
    <n v="1766"/>
  </r>
  <r>
    <n v="7512"/>
    <s v="Goodyear"/>
    <s v="CityMax"/>
    <n v="1619"/>
    <n v="87953"/>
    <s v="Liso"/>
    <n v="13588"/>
    <x v="0"/>
    <x v="2"/>
    <m/>
    <m/>
    <m/>
    <s v="Sucata"/>
    <n v="101541"/>
    <n v="1766"/>
  </r>
  <r>
    <n v="7583"/>
    <s v="FateCargo"/>
    <s v="SR-260"/>
    <n v="3419"/>
    <n v="36368"/>
    <s v="Desg. Irregular"/>
    <n v="67453"/>
    <x v="0"/>
    <x v="0"/>
    <m/>
    <m/>
    <s v="Infiltração"/>
    <s v="Sucata"/>
    <n v="103821"/>
    <n v="1454"/>
  </r>
  <r>
    <n v="7584"/>
    <s v="FateCargo"/>
    <s v="SR-260"/>
    <n v="3419"/>
    <n v="36368"/>
    <s v="Liso"/>
    <n v="22146"/>
    <x v="0"/>
    <x v="2"/>
    <m/>
    <m/>
    <m/>
    <s v="Sucata"/>
    <n v="58514"/>
    <n v="1454"/>
  </r>
  <r>
    <n v="7585"/>
    <s v="FateCargo"/>
    <s v="SR-260"/>
    <n v="4219"/>
    <n v="31578"/>
    <s v="Liso"/>
    <m/>
    <x v="0"/>
    <x v="1"/>
    <m/>
    <m/>
    <m/>
    <n v="8004"/>
    <n v="31578"/>
    <n v="1454"/>
  </r>
  <r>
    <n v="7586"/>
    <s v="FateCargo"/>
    <s v="SR-260"/>
    <n v="4219"/>
    <n v="32989"/>
    <s v="Liso"/>
    <m/>
    <x v="0"/>
    <x v="1"/>
    <m/>
    <m/>
    <m/>
    <n v="8004"/>
    <n v="32989"/>
    <n v="1454"/>
  </r>
  <r>
    <n v="7587"/>
    <s v="FateCargo"/>
    <s v="SR-260"/>
    <n v="4219"/>
    <n v="35612"/>
    <s v="Liso"/>
    <m/>
    <x v="0"/>
    <x v="1"/>
    <m/>
    <m/>
    <m/>
    <n v="8004"/>
    <n v="35612"/>
    <n v="1454"/>
  </r>
  <r>
    <n v="7588"/>
    <s v="FateCargo"/>
    <s v="SR-260"/>
    <n v="4219"/>
    <n v="41152"/>
    <s v="Liso"/>
    <m/>
    <x v="0"/>
    <x v="1"/>
    <m/>
    <m/>
    <m/>
    <n v="8004"/>
    <n v="41152"/>
    <n v="1454"/>
  </r>
  <r>
    <n v="7589"/>
    <s v="FateCargo"/>
    <s v="SR-260"/>
    <n v="4219"/>
    <n v="29838"/>
    <s v="Infiltração"/>
    <m/>
    <x v="2"/>
    <x v="1"/>
    <m/>
    <m/>
    <m/>
    <s v="Sucata"/>
    <n v="29838"/>
    <n v="1454"/>
  </r>
  <r>
    <n v="7590"/>
    <s v="FateCargo"/>
    <s v="SR-260"/>
    <n v="3419"/>
    <n v="53327"/>
    <s v="Liso"/>
    <n v="56076"/>
    <x v="0"/>
    <x v="3"/>
    <m/>
    <m/>
    <m/>
    <s v="Sucata"/>
    <n v="109403"/>
    <n v="1454"/>
  </r>
  <r>
    <n v="7647"/>
    <s v="Michelin"/>
    <s v="X-incity"/>
    <n v="1020"/>
    <n v="95649"/>
    <s v="Liso"/>
    <m/>
    <x v="5"/>
    <x v="1"/>
    <m/>
    <m/>
    <m/>
    <n v="19055"/>
    <n v="95649"/>
    <n v="1766"/>
  </r>
  <r>
    <n v="7648"/>
    <s v="Michelin"/>
    <s v="X-incity"/>
    <n v="1020"/>
    <n v="105255"/>
    <s v="Liso"/>
    <m/>
    <x v="5"/>
    <x v="1"/>
    <m/>
    <m/>
    <m/>
    <n v="19055"/>
    <n v="105255"/>
    <n v="1766"/>
  </r>
  <r>
    <n v="7649"/>
    <s v="Michelin"/>
    <s v="X-incity"/>
    <n v="1020"/>
    <n v="105267"/>
    <s v="Liso"/>
    <m/>
    <x v="0"/>
    <x v="1"/>
    <m/>
    <m/>
    <m/>
    <n v="8008"/>
    <n v="105267"/>
    <n v="1766"/>
  </r>
  <r>
    <n v="7650"/>
    <s v="Michelin"/>
    <s v="X-incity"/>
    <n v="1020"/>
    <n v="105267"/>
    <s v="Liso"/>
    <m/>
    <x v="2"/>
    <x v="2"/>
    <m/>
    <m/>
    <m/>
    <s v="Sucata"/>
    <n v="105267"/>
    <n v="1766"/>
  </r>
  <r>
    <n v="7660"/>
    <s v="Pirelli"/>
    <s v="MC01"/>
    <n v="4820"/>
    <n v="121463"/>
    <s v="Liso"/>
    <m/>
    <x v="0"/>
    <x v="1"/>
    <m/>
    <m/>
    <m/>
    <n v="19059"/>
    <n v="121463"/>
    <n v="1766"/>
  </r>
  <r>
    <n v="7661"/>
    <s v="Pirelli"/>
    <s v="MC01"/>
    <n v="4820"/>
    <n v="128044"/>
    <s v="Liso"/>
    <m/>
    <x v="0"/>
    <x v="1"/>
    <m/>
    <m/>
    <m/>
    <n v="19059"/>
    <n v="128044"/>
    <n v="1766"/>
  </r>
  <r>
    <n v="7662"/>
    <s v="Pirelli"/>
    <s v="MC01"/>
    <n v="4820"/>
    <n v="101344"/>
    <s v="Liso"/>
    <m/>
    <x v="0"/>
    <x v="1"/>
    <m/>
    <m/>
    <m/>
    <n v="19059"/>
    <n v="101344"/>
    <n v="1766"/>
  </r>
  <r>
    <n v="7663"/>
    <s v="Pirelli"/>
    <s v="MC01"/>
    <n v="4820"/>
    <n v="51603"/>
    <m/>
    <m/>
    <x v="2"/>
    <x v="1"/>
    <m/>
    <m/>
    <m/>
    <s v="Estoque MSO"/>
    <n v="51603"/>
    <n v="1766"/>
  </r>
  <r>
    <n v="7682"/>
    <s v="Pirelli"/>
    <s v="MC01"/>
    <n v="4920"/>
    <n v="102116"/>
    <s v="Furado"/>
    <m/>
    <x v="2"/>
    <x v="1"/>
    <m/>
    <m/>
    <m/>
    <s v="Sucata"/>
    <n v="102116"/>
    <n v="2191"/>
  </r>
  <r>
    <n v="7683"/>
    <s v="Pirelli"/>
    <s v="MC01"/>
    <n v="4920"/>
    <n v="118955"/>
    <s v="Liso"/>
    <m/>
    <x v="0"/>
    <x v="1"/>
    <m/>
    <m/>
    <m/>
    <n v="19059"/>
    <n v="118955"/>
    <n v="2191"/>
  </r>
  <r>
    <n v="7684"/>
    <s v="Pirelli"/>
    <s v="MC01"/>
    <n v="4920"/>
    <n v="116317"/>
    <s v="Liso"/>
    <m/>
    <x v="6"/>
    <x v="1"/>
    <m/>
    <m/>
    <m/>
    <n v="19051"/>
    <n v="116317"/>
    <n v="2191"/>
  </r>
  <r>
    <n v="7685"/>
    <s v="Pirelli"/>
    <s v="MC01"/>
    <n v="4920"/>
    <n v="116317"/>
    <s v="Liso"/>
    <m/>
    <x v="6"/>
    <x v="1"/>
    <m/>
    <m/>
    <m/>
    <n v="19051"/>
    <n v="116317"/>
    <n v="2191"/>
  </r>
  <r>
    <n v="7686"/>
    <s v="Pirelli"/>
    <s v="MC01"/>
    <n v="4920"/>
    <m/>
    <m/>
    <m/>
    <x v="2"/>
    <x v="1"/>
    <m/>
    <m/>
    <m/>
    <n v="8008"/>
    <n v="0"/>
    <n v="2191"/>
  </r>
  <r>
    <n v="7687"/>
    <s v="Pirelli"/>
    <s v="MC01"/>
    <n v="4920"/>
    <m/>
    <m/>
    <m/>
    <x v="2"/>
    <x v="1"/>
    <m/>
    <m/>
    <m/>
    <n v="8008"/>
    <n v="0"/>
    <n v="2191"/>
  </r>
  <r>
    <n v="7695"/>
    <s v="Pirelli"/>
    <s v="MC01"/>
    <n v="1021"/>
    <m/>
    <m/>
    <m/>
    <x v="2"/>
    <x v="1"/>
    <m/>
    <m/>
    <m/>
    <n v="8005"/>
    <n v="0"/>
    <n v="2496"/>
  </r>
  <r>
    <n v="7696"/>
    <s v="Pirelli"/>
    <s v="MC01"/>
    <s v="0621"/>
    <m/>
    <m/>
    <m/>
    <x v="2"/>
    <x v="1"/>
    <m/>
    <m/>
    <m/>
    <n v="8005"/>
    <n v="0"/>
    <n v="2496"/>
  </r>
  <r>
    <n v="7697"/>
    <s v="Pirelli"/>
    <s v="MC01"/>
    <s v="0621"/>
    <n v="102707"/>
    <s v="Liso"/>
    <m/>
    <x v="6"/>
    <x v="1"/>
    <m/>
    <m/>
    <m/>
    <n v="19051"/>
    <n v="102707"/>
    <n v="2496"/>
  </r>
  <r>
    <n v="7698"/>
    <s v="Pirelli"/>
    <s v="MC01"/>
    <s v="0821"/>
    <n v="84246"/>
    <s v="Furado"/>
    <m/>
    <x v="2"/>
    <x v="1"/>
    <m/>
    <m/>
    <m/>
    <s v="Sucata"/>
    <n v="84246"/>
    <n v="2496"/>
  </r>
  <r>
    <n v="7699"/>
    <s v="Pirelli"/>
    <s v="MC01"/>
    <s v="0821"/>
    <n v="99363"/>
    <s v="Furado"/>
    <m/>
    <x v="6"/>
    <x v="1"/>
    <m/>
    <m/>
    <m/>
    <n v="19051"/>
    <n v="99363"/>
    <n v="2496"/>
  </r>
  <r>
    <n v="7700"/>
    <s v="Pirelli"/>
    <s v="MC01"/>
    <n v="1021"/>
    <n v="109990"/>
    <s v="Liso"/>
    <m/>
    <x v="2"/>
    <x v="1"/>
    <m/>
    <m/>
    <m/>
    <s v="Estoque"/>
    <n v="109990"/>
    <n v="2496"/>
  </r>
  <r>
    <n v="7711"/>
    <s v="Pirelli"/>
    <s v="MC01"/>
    <n v="2721"/>
    <m/>
    <m/>
    <m/>
    <x v="2"/>
    <x v="1"/>
    <m/>
    <m/>
    <m/>
    <n v="8006"/>
    <n v="0"/>
    <n v="2451"/>
  </r>
  <r>
    <n v="7712"/>
    <s v="Pirelli"/>
    <s v="MC01"/>
    <n v="2721"/>
    <m/>
    <m/>
    <m/>
    <x v="2"/>
    <x v="1"/>
    <m/>
    <m/>
    <m/>
    <n v="8006"/>
    <n v="0"/>
    <n v="2451"/>
  </r>
  <r>
    <n v="7713"/>
    <s v="Pirelli"/>
    <s v="MC01"/>
    <n v="2621"/>
    <m/>
    <m/>
    <m/>
    <x v="2"/>
    <x v="1"/>
    <m/>
    <m/>
    <m/>
    <s v="Estoque"/>
    <n v="0"/>
    <n v="2451"/>
  </r>
  <r>
    <n v="7714"/>
    <s v="Pirelli"/>
    <s v="MC01"/>
    <n v="2721"/>
    <m/>
    <m/>
    <m/>
    <x v="2"/>
    <x v="1"/>
    <m/>
    <m/>
    <m/>
    <n v="19053"/>
    <n v="0"/>
    <n v="2451"/>
  </r>
  <r>
    <n v="7717"/>
    <s v="Michelin"/>
    <s v="X-incity"/>
    <n v="3621"/>
    <m/>
    <m/>
    <m/>
    <x v="2"/>
    <x v="1"/>
    <m/>
    <m/>
    <m/>
    <n v="19060"/>
    <n v="0"/>
    <n v="2767"/>
  </r>
  <r>
    <n v="7718"/>
    <s v="Michelin"/>
    <s v="X-incity"/>
    <n v="3621"/>
    <m/>
    <m/>
    <m/>
    <x v="2"/>
    <x v="1"/>
    <m/>
    <m/>
    <m/>
    <n v="19060"/>
    <n v="0"/>
    <n v="2767"/>
  </r>
  <r>
    <n v="7719"/>
    <s v="Michelin"/>
    <s v="X-incity"/>
    <n v="3621"/>
    <m/>
    <m/>
    <m/>
    <x v="2"/>
    <x v="1"/>
    <m/>
    <m/>
    <m/>
    <n v="19052"/>
    <n v="0"/>
    <n v="2767"/>
  </r>
  <r>
    <n v="7720"/>
    <s v="Michelin"/>
    <s v="X-incity"/>
    <n v="3621"/>
    <m/>
    <m/>
    <m/>
    <x v="2"/>
    <x v="1"/>
    <m/>
    <m/>
    <m/>
    <n v="19052"/>
    <n v="0"/>
    <n v="2767"/>
  </r>
  <r>
    <n v="7721"/>
    <s v="Michelin"/>
    <s v="X-incity"/>
    <n v="3621"/>
    <m/>
    <m/>
    <m/>
    <x v="2"/>
    <x v="1"/>
    <m/>
    <m/>
    <m/>
    <n v="19056"/>
    <n v="0"/>
    <n v="2767"/>
  </r>
  <r>
    <n v="7722"/>
    <s v="Michelin"/>
    <s v="X-incity"/>
    <n v="3621"/>
    <m/>
    <m/>
    <m/>
    <x v="2"/>
    <x v="1"/>
    <m/>
    <m/>
    <m/>
    <n v="19056"/>
    <n v="0"/>
    <n v="2767"/>
  </r>
  <r>
    <n v="7736"/>
    <s v="Michelin"/>
    <s v="X-incity"/>
    <s v="0921"/>
    <m/>
    <m/>
    <m/>
    <x v="2"/>
    <x v="1"/>
    <m/>
    <m/>
    <m/>
    <n v="8002"/>
    <n v="0"/>
    <n v="2767"/>
  </r>
  <r>
    <n v="7737"/>
    <s v="Michelin"/>
    <s v="X-incity"/>
    <n v="2221"/>
    <m/>
    <m/>
    <m/>
    <x v="2"/>
    <x v="1"/>
    <m/>
    <m/>
    <m/>
    <n v="8002"/>
    <n v="0"/>
    <n v="2767"/>
  </r>
  <r>
    <n v="7738"/>
    <s v="Michelin"/>
    <s v="X-incity"/>
    <n v="5121"/>
    <m/>
    <m/>
    <m/>
    <x v="2"/>
    <x v="1"/>
    <m/>
    <m/>
    <m/>
    <n v="19059"/>
    <n v="0"/>
    <n v="2933"/>
  </r>
  <r>
    <n v="7739"/>
    <s v="Michelin"/>
    <s v="X-incity"/>
    <n v="5121"/>
    <m/>
    <m/>
    <m/>
    <x v="2"/>
    <x v="1"/>
    <m/>
    <m/>
    <m/>
    <n v="19059"/>
    <n v="0"/>
    <n v="2933"/>
  </r>
  <r>
    <n v="7740"/>
    <s v="Michelin"/>
    <s v="X-incity"/>
    <n v="5121"/>
    <m/>
    <m/>
    <m/>
    <x v="2"/>
    <x v="1"/>
    <m/>
    <m/>
    <m/>
    <n v="19057"/>
    <n v="0"/>
    <n v="2933"/>
  </r>
  <r>
    <n v="7741"/>
    <s v="Michelin"/>
    <s v="X-incity"/>
    <n v="5121"/>
    <m/>
    <m/>
    <m/>
    <x v="2"/>
    <x v="1"/>
    <m/>
    <m/>
    <m/>
    <n v="19057"/>
    <n v="0"/>
    <n v="2933"/>
  </r>
  <r>
    <n v="7742"/>
    <s v="Michelin"/>
    <s v="X-incity"/>
    <n v="5121"/>
    <m/>
    <m/>
    <m/>
    <x v="2"/>
    <x v="1"/>
    <m/>
    <m/>
    <m/>
    <n v="19055"/>
    <n v="0"/>
    <n v="2933"/>
  </r>
  <r>
    <n v="7743"/>
    <s v="Michelin"/>
    <s v="X-incity"/>
    <n v="5121"/>
    <m/>
    <m/>
    <m/>
    <x v="2"/>
    <x v="1"/>
    <m/>
    <m/>
    <m/>
    <n v="19055"/>
    <n v="0"/>
    <n v="2933"/>
  </r>
  <r>
    <n v="7755"/>
    <s v="Michelin"/>
    <s v="X-incity"/>
    <s v="0222"/>
    <m/>
    <m/>
    <m/>
    <x v="2"/>
    <x v="1"/>
    <m/>
    <m/>
    <m/>
    <n v="19058"/>
    <n v="0"/>
    <n v="2933"/>
  </r>
  <r>
    <n v="7756"/>
    <s v="Michelin"/>
    <s v="X-incity"/>
    <s v="0322"/>
    <m/>
    <m/>
    <m/>
    <x v="2"/>
    <x v="1"/>
    <m/>
    <m/>
    <m/>
    <n v="19058"/>
    <n v="0"/>
    <n v="2933"/>
  </r>
  <r>
    <n v="7757"/>
    <s v="Michelin"/>
    <s v="X-incity"/>
    <s v="0322"/>
    <m/>
    <m/>
    <m/>
    <x v="2"/>
    <x v="1"/>
    <m/>
    <m/>
    <m/>
    <n v="8006"/>
    <n v="0"/>
    <n v="2933"/>
  </r>
  <r>
    <n v="7758"/>
    <s v="Michelin"/>
    <s v="X-incity"/>
    <s v="0222"/>
    <m/>
    <s v="Furado"/>
    <m/>
    <x v="2"/>
    <x v="1"/>
    <m/>
    <m/>
    <m/>
    <n v="19058"/>
    <n v="0"/>
    <n v="2933"/>
  </r>
  <r>
    <n v="7759"/>
    <s v="Michelin"/>
    <s v="X-incity"/>
    <s v="0222"/>
    <m/>
    <m/>
    <m/>
    <x v="2"/>
    <x v="1"/>
    <m/>
    <m/>
    <m/>
    <n v="8009"/>
    <n v="0"/>
    <n v="1143.8699999999999"/>
  </r>
  <r>
    <n v="7770"/>
    <s v="Michelin"/>
    <s v="X-incity"/>
    <s v="0222"/>
    <m/>
    <m/>
    <m/>
    <x v="2"/>
    <x v="1"/>
    <m/>
    <m/>
    <m/>
    <n v="8004"/>
    <n v="0"/>
    <n v="3358"/>
  </r>
  <r>
    <n v="7771"/>
    <s v="Michelin"/>
    <s v="X-incity"/>
    <s v="0222"/>
    <m/>
    <m/>
    <m/>
    <x v="2"/>
    <x v="1"/>
    <m/>
    <m/>
    <m/>
    <n v="8004"/>
    <n v="0"/>
    <n v="3358"/>
  </r>
  <r>
    <n v="7786"/>
    <s v="Michelin"/>
    <s v="X-incity"/>
    <s v="0922"/>
    <m/>
    <m/>
    <m/>
    <x v="2"/>
    <x v="1"/>
    <m/>
    <m/>
    <m/>
    <n v="8009"/>
    <n v="0"/>
    <n v="3358"/>
  </r>
  <r>
    <n v="7787"/>
    <s v="Michelin"/>
    <s v="X-incity"/>
    <s v="0922"/>
    <m/>
    <m/>
    <m/>
    <x v="2"/>
    <x v="1"/>
    <m/>
    <m/>
    <m/>
    <n v="19054"/>
    <n v="0"/>
    <n v="3358"/>
  </r>
  <r>
    <n v="7788"/>
    <s v="Michelin"/>
    <s v="X-incity"/>
    <s v="2022"/>
    <m/>
    <m/>
    <m/>
    <x v="2"/>
    <x v="1"/>
    <m/>
    <m/>
    <m/>
    <n v="19054"/>
    <n v="0"/>
    <n v="3358"/>
  </r>
  <r>
    <n v="7789"/>
    <s v="Michelin"/>
    <s v="X-incity"/>
    <s v="0922"/>
    <m/>
    <m/>
    <m/>
    <x v="2"/>
    <x v="1"/>
    <m/>
    <m/>
    <m/>
    <n v="19051"/>
    <n v="0"/>
    <n v="3358"/>
  </r>
  <r>
    <n v="7790"/>
    <s v="Michelin"/>
    <s v="X-incity"/>
    <s v="1122"/>
    <m/>
    <m/>
    <m/>
    <x v="2"/>
    <x v="1"/>
    <m/>
    <m/>
    <m/>
    <n v="19051"/>
    <n v="0"/>
    <n v="3358"/>
  </r>
  <r>
    <n v="7791"/>
    <s v="Michelin"/>
    <s v="X-incity"/>
    <s v="1122"/>
    <m/>
    <m/>
    <m/>
    <x v="2"/>
    <x v="1"/>
    <m/>
    <m/>
    <m/>
    <n v="19053"/>
    <n v="0"/>
    <n v="3358"/>
  </r>
  <r>
    <n v="7792"/>
    <s v="Michelin"/>
    <s v="X-incity"/>
    <s v="0922"/>
    <m/>
    <m/>
    <m/>
    <x v="2"/>
    <x v="1"/>
    <m/>
    <m/>
    <m/>
    <n v="19053"/>
    <n v="0"/>
    <n v="3358"/>
  </r>
  <r>
    <n v="7793"/>
    <s v="Michelin"/>
    <s v="X-incity"/>
    <s v="1122"/>
    <m/>
    <m/>
    <m/>
    <x v="2"/>
    <x v="1"/>
    <m/>
    <m/>
    <m/>
    <n v="19058"/>
    <n v="0"/>
    <n v="3358"/>
  </r>
  <r>
    <n v="7794"/>
    <s v="Michelin"/>
    <s v="X-incity"/>
    <s v="2322"/>
    <m/>
    <m/>
    <m/>
    <x v="2"/>
    <x v="1"/>
    <m/>
    <m/>
    <m/>
    <n v="19058"/>
    <n v="0"/>
    <n v="3358"/>
  </r>
  <r>
    <n v="7795"/>
    <s v="Michelin"/>
    <s v="X-incity"/>
    <s v="2422"/>
    <m/>
    <m/>
    <m/>
    <x v="2"/>
    <x v="1"/>
    <m/>
    <m/>
    <m/>
    <s v="Estoque"/>
    <n v="0"/>
    <n v="3358"/>
  </r>
  <r>
    <n v="7796"/>
    <s v="Michelin"/>
    <s v="X-incity"/>
    <s v="2322"/>
    <m/>
    <m/>
    <m/>
    <x v="2"/>
    <x v="1"/>
    <m/>
    <m/>
    <m/>
    <s v="Estoque"/>
    <n v="0"/>
    <n v="3358"/>
  </r>
  <r>
    <n v="15428"/>
    <s v="Michelin"/>
    <s v="X-incity"/>
    <s v="5121"/>
    <m/>
    <m/>
    <m/>
    <x v="2"/>
    <x v="1"/>
    <m/>
    <m/>
    <m/>
    <n v="19057"/>
    <n v="0"/>
    <n v="3358"/>
  </r>
  <r>
    <n v="15429"/>
    <s v="Michelin"/>
    <s v="X-incity"/>
    <s v="5121"/>
    <m/>
    <m/>
    <m/>
    <x v="2"/>
    <x v="1"/>
    <m/>
    <m/>
    <m/>
    <n v="19055"/>
    <n v="0"/>
    <n v="3358"/>
  </r>
  <r>
    <n v="7818"/>
    <s v="Pirelli"/>
    <s v="MC01"/>
    <s v="4222"/>
    <m/>
    <m/>
    <m/>
    <x v="2"/>
    <x v="1"/>
    <m/>
    <m/>
    <m/>
    <s v="Estoque"/>
    <n v="0"/>
    <n v="2900"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n v="0"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  <r>
    <m/>
    <m/>
    <m/>
    <m/>
    <m/>
    <m/>
    <m/>
    <x v="2"/>
    <x v="1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5">
  <r>
    <n v="6727"/>
    <x v="0"/>
    <x v="0"/>
    <x v="0"/>
    <n v="109911"/>
    <s v="Liso"/>
    <n v="104638"/>
    <s v="DVR-M"/>
    <x v="0"/>
    <n v="29183"/>
    <s v="VL-110L"/>
    <s v="Furado"/>
    <s v="Sucata"/>
    <n v="243732"/>
    <x v="0"/>
  </r>
  <r>
    <n v="6728"/>
    <x v="0"/>
    <x v="0"/>
    <x v="0"/>
    <n v="64188"/>
    <s v="Liso"/>
    <n v="107259"/>
    <s v="G665"/>
    <x v="0"/>
    <m/>
    <m/>
    <m/>
    <s v="Sucata"/>
    <n v="171447"/>
    <x v="0"/>
  </r>
  <r>
    <n v="6729"/>
    <x v="0"/>
    <x v="0"/>
    <x v="0"/>
    <n v="83250"/>
    <s v="s/ dados"/>
    <m/>
    <m/>
    <x v="1"/>
    <m/>
    <m/>
    <m/>
    <m/>
    <n v="83250"/>
    <x v="0"/>
  </r>
  <r>
    <n v="6730"/>
    <x v="0"/>
    <x v="0"/>
    <x v="0"/>
    <n v="81348"/>
    <s v="Liso"/>
    <n v="80912"/>
    <s v="G665"/>
    <x v="2"/>
    <m/>
    <m/>
    <m/>
    <s v="Sucata"/>
    <n v="162260"/>
    <x v="0"/>
  </r>
  <r>
    <n v="6731"/>
    <x v="0"/>
    <x v="0"/>
    <x v="0"/>
    <n v="122781"/>
    <s v="s/ dados"/>
    <m/>
    <m/>
    <x v="1"/>
    <m/>
    <m/>
    <m/>
    <m/>
    <n v="122781"/>
    <x v="0"/>
  </r>
  <r>
    <n v="6732"/>
    <x v="0"/>
    <x v="0"/>
    <x v="1"/>
    <n v="77296"/>
    <s v="Liso"/>
    <n v="77760"/>
    <s v="DVR-M"/>
    <x v="0"/>
    <n v="75993"/>
    <s v="G600"/>
    <s v="Liso"/>
    <s v="Sucata"/>
    <n v="231049"/>
    <x v="0"/>
  </r>
  <r>
    <n v="6733"/>
    <x v="0"/>
    <x v="0"/>
    <x v="0"/>
    <n v="71467"/>
    <s v="Liso"/>
    <n v="91077"/>
    <s v="G665"/>
    <x v="0"/>
    <n v="20694"/>
    <s v="G665"/>
    <s v="Infiltração"/>
    <s v="Sucata"/>
    <n v="183238"/>
    <x v="0"/>
  </r>
  <r>
    <n v="6734"/>
    <x v="0"/>
    <x v="0"/>
    <x v="0"/>
    <n v="75316"/>
    <s v="Liso"/>
    <n v="95016"/>
    <s v="DVR-M"/>
    <x v="0"/>
    <n v="95633"/>
    <s v="DVR-M"/>
    <s v="Infiltração"/>
    <s v="Sucata"/>
    <n v="265965"/>
    <x v="0"/>
  </r>
  <r>
    <n v="6735"/>
    <x v="0"/>
    <x v="0"/>
    <x v="0"/>
    <n v="90226"/>
    <s v="Liso"/>
    <n v="51249"/>
    <s v="G665"/>
    <x v="2"/>
    <m/>
    <m/>
    <m/>
    <s v="Sucata"/>
    <n v="141475"/>
    <x v="0"/>
  </r>
  <r>
    <n v="6752"/>
    <x v="0"/>
    <x v="0"/>
    <x v="2"/>
    <n v="62257"/>
    <s v="Desg. Irregular"/>
    <n v="119271"/>
    <s v="G665"/>
    <x v="0"/>
    <n v="29668"/>
    <s v="G665"/>
    <s v="Infiltração"/>
    <s v="Sucata"/>
    <n v="211196"/>
    <x v="0"/>
  </r>
  <r>
    <n v="6753"/>
    <x v="0"/>
    <x v="0"/>
    <x v="2"/>
    <n v="104492"/>
    <s v="Liso"/>
    <n v="79084"/>
    <s v="G665"/>
    <x v="0"/>
    <n v="45948"/>
    <s v="G665"/>
    <s v="Liso"/>
    <s v="Sucata"/>
    <n v="229524"/>
    <x v="0"/>
  </r>
  <r>
    <n v="6754"/>
    <x v="0"/>
    <x v="0"/>
    <x v="2"/>
    <n v="80428"/>
    <s v="Desg. Irregular"/>
    <n v="95016"/>
    <s v="G665"/>
    <x v="0"/>
    <m/>
    <m/>
    <m/>
    <s v="Sucata"/>
    <n v="175444"/>
    <x v="0"/>
  </r>
  <r>
    <n v="6755"/>
    <x v="0"/>
    <x v="0"/>
    <x v="2"/>
    <n v="107971"/>
    <s v="Liso"/>
    <n v="59027"/>
    <s v="DVR-M"/>
    <x v="0"/>
    <n v="46742"/>
    <s v="VL-110L"/>
    <s v="Liso"/>
    <s v="Sucata"/>
    <n v="213740"/>
    <x v="0"/>
  </r>
  <r>
    <n v="6756"/>
    <x v="0"/>
    <x v="0"/>
    <x v="2"/>
    <n v="104564"/>
    <s v="Liso"/>
    <n v="72481"/>
    <s v="G665"/>
    <x v="0"/>
    <n v="35522"/>
    <s v="G665"/>
    <s v="Infiltração"/>
    <s v="Sucata"/>
    <n v="212567"/>
    <x v="0"/>
  </r>
  <r>
    <n v="6757"/>
    <x v="0"/>
    <x v="0"/>
    <x v="2"/>
    <n v="94368"/>
    <s v="Liso"/>
    <n v="77456"/>
    <s v="DVR-M"/>
    <x v="0"/>
    <n v="19148"/>
    <s v="VL-110L"/>
    <s v="Infiltração"/>
    <s v="Sucata"/>
    <n v="190972"/>
    <x v="0"/>
  </r>
  <r>
    <n v="6758"/>
    <x v="0"/>
    <x v="0"/>
    <x v="2"/>
    <n v="78579"/>
    <s v="Liso"/>
    <n v="69492"/>
    <s v="DVR-M"/>
    <x v="3"/>
    <n v="86284"/>
    <s v="DVR-M"/>
    <s v="Liso"/>
    <s v="Sucata"/>
    <n v="234355"/>
    <x v="0"/>
  </r>
  <r>
    <n v="6759"/>
    <x v="0"/>
    <x v="0"/>
    <x v="2"/>
    <n v="79044"/>
    <s v="Liso"/>
    <n v="40043"/>
    <s v="G665"/>
    <x v="0"/>
    <n v="18494"/>
    <s v="G665"/>
    <s v="Infiltração"/>
    <s v="Sucata"/>
    <n v="137581"/>
    <x v="0"/>
  </r>
  <r>
    <n v="6760"/>
    <x v="0"/>
    <x v="0"/>
    <x v="2"/>
    <n v="34644"/>
    <s v="Desg. Irregular"/>
    <n v="102700"/>
    <s v="G665"/>
    <x v="0"/>
    <n v="33435"/>
    <s v="G665"/>
    <s v="Infiltração"/>
    <s v="Sucata"/>
    <n v="170779"/>
    <x v="0"/>
  </r>
  <r>
    <n v="6761"/>
    <x v="0"/>
    <x v="0"/>
    <x v="2"/>
    <n v="34644"/>
    <s v="Desg. Irregular"/>
    <n v="119271"/>
    <s v="MC01"/>
    <x v="0"/>
    <n v="47119"/>
    <s v="G600"/>
    <s v="Liso"/>
    <s v="Sucata"/>
    <n v="201034"/>
    <x v="0"/>
  </r>
  <r>
    <n v="6770"/>
    <x v="0"/>
    <x v="0"/>
    <x v="3"/>
    <n v="64877"/>
    <s v="Liso"/>
    <n v="112190"/>
    <s v="DVR-M"/>
    <x v="0"/>
    <n v="48989"/>
    <s v="VL-110L"/>
    <s v="Infiltração"/>
    <s v="Sucata"/>
    <n v="226056"/>
    <x v="0"/>
  </r>
  <r>
    <n v="6771"/>
    <x v="0"/>
    <x v="0"/>
    <x v="3"/>
    <n v="87085"/>
    <s v="Liso"/>
    <n v="78710"/>
    <s v="DVR-M"/>
    <x v="0"/>
    <n v="45567"/>
    <s v="VL-110L"/>
    <s v="Liso"/>
    <s v="Sucata"/>
    <n v="211362"/>
    <x v="0"/>
  </r>
  <r>
    <n v="6772"/>
    <x v="0"/>
    <x v="0"/>
    <x v="3"/>
    <n v="64264"/>
    <s v="Liso"/>
    <n v="113377"/>
    <s v="DVR-M"/>
    <x v="0"/>
    <n v="53770"/>
    <s v="VL-110L"/>
    <s v="Liso"/>
    <s v="Sucata"/>
    <n v="231411"/>
    <x v="0"/>
  </r>
  <r>
    <n v="6773"/>
    <x v="0"/>
    <x v="0"/>
    <x v="3"/>
    <n v="98579"/>
    <s v="Liso"/>
    <n v="76307"/>
    <s v="DVR-M"/>
    <x v="0"/>
    <n v="58167"/>
    <s v="VL-110L"/>
    <s v="Liso"/>
    <s v="Sucata"/>
    <n v="233053"/>
    <x v="0"/>
  </r>
  <r>
    <n v="6774"/>
    <x v="0"/>
    <x v="0"/>
    <x v="3"/>
    <n v="98579"/>
    <s v="Liso"/>
    <n v="76307"/>
    <s v="DVR-M"/>
    <x v="0"/>
    <n v="58167"/>
    <s v="VL-110L"/>
    <s v="Liso"/>
    <s v="Sucata"/>
    <n v="233053"/>
    <x v="0"/>
  </r>
  <r>
    <n v="6775"/>
    <x v="0"/>
    <x v="0"/>
    <x v="3"/>
    <n v="66643"/>
    <s v="Liso"/>
    <n v="113377"/>
    <s v="DVR-M"/>
    <x v="0"/>
    <n v="68344"/>
    <s v="VL-110L"/>
    <s v="Liso"/>
    <s v="Sucata"/>
    <n v="248364"/>
    <x v="0"/>
  </r>
  <r>
    <n v="6776"/>
    <x v="0"/>
    <x v="0"/>
    <x v="3"/>
    <n v="66643"/>
    <s v="Liso"/>
    <n v="88331"/>
    <s v="DVR-M"/>
    <x v="0"/>
    <n v="56272"/>
    <s v="VL-110L"/>
    <s v="Infiltração"/>
    <s v="Sucata"/>
    <n v="211246"/>
    <x v="0"/>
  </r>
  <r>
    <n v="6777"/>
    <x v="0"/>
    <x v="0"/>
    <x v="3"/>
    <n v="82560"/>
    <s v="Liso"/>
    <n v="79084"/>
    <s v="G665"/>
    <x v="0"/>
    <n v="8125"/>
    <s v="G665"/>
    <s v="Furado"/>
    <s v="Sucata"/>
    <n v="169769"/>
    <x v="0"/>
  </r>
  <r>
    <n v="6786"/>
    <x v="0"/>
    <x v="0"/>
    <x v="4"/>
    <n v="84006"/>
    <s v="Liso"/>
    <n v="86268"/>
    <s v="G665"/>
    <x v="0"/>
    <n v="57228"/>
    <s v="VL-110L"/>
    <s v="Liso"/>
    <s v="Sucata"/>
    <n v="227502"/>
    <x v="0"/>
  </r>
  <r>
    <n v="6787"/>
    <x v="0"/>
    <x v="0"/>
    <x v="4"/>
    <n v="49153"/>
    <s v="Liso"/>
    <n v="99647"/>
    <s v="DVR-M"/>
    <x v="0"/>
    <n v="60010"/>
    <s v="VL-110L"/>
    <s v="Liso"/>
    <s v="Sucata"/>
    <n v="208810"/>
    <x v="0"/>
  </r>
  <r>
    <n v="6788"/>
    <x v="0"/>
    <x v="0"/>
    <x v="4"/>
    <n v="81023"/>
    <s v="Liso"/>
    <n v="77456"/>
    <s v="DVR-M"/>
    <x v="0"/>
    <n v="42754"/>
    <s v="VL-110L"/>
    <s v="Liso"/>
    <s v="Sucata"/>
    <n v="201233"/>
    <x v="0"/>
  </r>
  <r>
    <n v="6789"/>
    <x v="0"/>
    <x v="0"/>
    <x v="4"/>
    <n v="107377"/>
    <s v="Liso"/>
    <n v="93124"/>
    <s v="G665"/>
    <x v="0"/>
    <n v="37535"/>
    <s v="VL-110L"/>
    <s v="Furado"/>
    <s v="Sucata"/>
    <n v="238036"/>
    <x v="0"/>
  </r>
  <r>
    <n v="6792"/>
    <x v="0"/>
    <x v="0"/>
    <x v="4"/>
    <n v="57492"/>
    <s v="Desg. Irregular"/>
    <n v="87528"/>
    <s v="DVR-M"/>
    <x v="0"/>
    <n v="63723"/>
    <s v="G600"/>
    <s v="Liso"/>
    <s v="Sucata"/>
    <n v="208743"/>
    <x v="0"/>
  </r>
  <r>
    <n v="6793"/>
    <x v="0"/>
    <x v="0"/>
    <x v="4"/>
    <n v="62249"/>
    <s v="Furado"/>
    <n v="72481"/>
    <s v="DVR-M"/>
    <x v="0"/>
    <n v="97462"/>
    <s v="DVR-M"/>
    <s v="Liso"/>
    <s v="Sucata"/>
    <n v="232192"/>
    <x v="0"/>
  </r>
  <r>
    <n v="6826"/>
    <x v="0"/>
    <x v="0"/>
    <x v="5"/>
    <n v="95009"/>
    <s v="Liso"/>
    <n v="90713"/>
    <s v="DVR-M"/>
    <x v="0"/>
    <m/>
    <m/>
    <m/>
    <s v="Sucata"/>
    <n v="185722"/>
    <x v="0"/>
  </r>
  <r>
    <n v="6827"/>
    <x v="0"/>
    <x v="0"/>
    <x v="5"/>
    <n v="50337"/>
    <s v="Liso"/>
    <n v="65844"/>
    <s v="DVR-M"/>
    <x v="0"/>
    <n v="52787"/>
    <s v="VL-110L"/>
    <s v="Liso"/>
    <s v="Sucata"/>
    <n v="168968"/>
    <x v="0"/>
  </r>
  <r>
    <n v="6828"/>
    <x v="0"/>
    <x v="0"/>
    <x v="5"/>
    <n v="64731"/>
    <s v="Liso"/>
    <n v="78314"/>
    <s v="DVR-M"/>
    <x v="0"/>
    <n v="42294"/>
    <s v="VL-110L"/>
    <s v="Liso"/>
    <s v="Sucata"/>
    <n v="185339"/>
    <x v="0"/>
  </r>
  <r>
    <n v="6829"/>
    <x v="0"/>
    <x v="0"/>
    <x v="5"/>
    <n v="129606"/>
    <s v="Liso"/>
    <n v="84157"/>
    <s v="G665"/>
    <x v="0"/>
    <n v="35768"/>
    <s v="VL-110L"/>
    <s v="Infiltração"/>
    <s v="Sucata"/>
    <n v="249531"/>
    <x v="0"/>
  </r>
  <r>
    <n v="6830"/>
    <x v="0"/>
    <x v="0"/>
    <x v="5"/>
    <n v="96690"/>
    <s v="Liso"/>
    <n v="114425"/>
    <s v="DVR-M"/>
    <x v="0"/>
    <n v="48548"/>
    <s v="VL-110L"/>
    <s v="s/ dados"/>
    <m/>
    <n v="259663"/>
    <x v="0"/>
  </r>
  <r>
    <n v="6831"/>
    <x v="0"/>
    <x v="0"/>
    <x v="5"/>
    <n v="112988"/>
    <s v="Liso"/>
    <n v="53521"/>
    <s v="DVR-M"/>
    <x v="3"/>
    <m/>
    <m/>
    <m/>
    <s v="Sucata"/>
    <n v="166509"/>
    <x v="0"/>
  </r>
  <r>
    <n v="6832"/>
    <x v="0"/>
    <x v="0"/>
    <x v="6"/>
    <n v="50956"/>
    <s v="Liso"/>
    <n v="76307"/>
    <s v="DVR-M"/>
    <x v="0"/>
    <n v="58734"/>
    <s v="VL-110L"/>
    <s v="Liso"/>
    <s v="Sucata"/>
    <n v="185997"/>
    <x v="0"/>
  </r>
  <r>
    <n v="6833"/>
    <x v="0"/>
    <x v="0"/>
    <x v="6"/>
    <n v="95420"/>
    <s v="Liso"/>
    <n v="96646"/>
    <s v="G665"/>
    <x v="0"/>
    <n v="20231"/>
    <s v="VL-110L"/>
    <s v="Infiltração"/>
    <s v="Sucata"/>
    <n v="212297"/>
    <x v="0"/>
  </r>
  <r>
    <n v="6834"/>
    <x v="0"/>
    <x v="0"/>
    <x v="6"/>
    <n v="83847"/>
    <s v="Liso"/>
    <n v="69532"/>
    <s v="G665"/>
    <x v="0"/>
    <n v="37702"/>
    <s v="VL-110L"/>
    <s v="Infiltração"/>
    <s v="Sucata"/>
    <n v="191081"/>
    <x v="0"/>
  </r>
  <r>
    <n v="6835"/>
    <x v="0"/>
    <x v="0"/>
    <x v="6"/>
    <n v="97923"/>
    <s v="Liso"/>
    <n v="68686"/>
    <s v="G665"/>
    <x v="0"/>
    <n v="3422"/>
    <s v="VL-110L"/>
    <s v="Infiltração"/>
    <s v="Sucata"/>
    <n v="170031"/>
    <x v="0"/>
  </r>
  <r>
    <n v="6846"/>
    <x v="0"/>
    <x v="0"/>
    <x v="7"/>
    <n v="93611"/>
    <s v="Liso"/>
    <n v="79412"/>
    <s v="G665"/>
    <x v="3"/>
    <n v="44210"/>
    <s v="VL-110L"/>
    <s v="Infiltração"/>
    <s v="Sucata"/>
    <n v="217233"/>
    <x v="0"/>
  </r>
  <r>
    <n v="6847"/>
    <x v="0"/>
    <x v="0"/>
    <x v="7"/>
    <n v="79664"/>
    <s v="Liso"/>
    <n v="68686"/>
    <s v="G665"/>
    <x v="0"/>
    <n v="42468"/>
    <s v="VL-110L"/>
    <s v="Liso"/>
    <s v="Sucata"/>
    <n v="190818"/>
    <x v="0"/>
  </r>
  <r>
    <n v="6848"/>
    <x v="0"/>
    <x v="0"/>
    <x v="7"/>
    <n v="66603"/>
    <s v="Liso"/>
    <n v="69354"/>
    <s v="DVR-M"/>
    <x v="0"/>
    <n v="60892"/>
    <s v="VL-110L"/>
    <s v="Liso"/>
    <s v="Sucata"/>
    <n v="196849"/>
    <x v="0"/>
  </r>
  <r>
    <n v="6849"/>
    <x v="0"/>
    <x v="0"/>
    <x v="7"/>
    <n v="106916"/>
    <s v="Liso"/>
    <m/>
    <m/>
    <x v="1"/>
    <m/>
    <m/>
    <m/>
    <s v="Sucata"/>
    <n v="106916"/>
    <x v="0"/>
  </r>
  <r>
    <n v="6856"/>
    <x v="1"/>
    <x v="1"/>
    <x v="8"/>
    <n v="100345"/>
    <s v="Liso"/>
    <n v="94612"/>
    <s v="DVR-M"/>
    <x v="0"/>
    <n v="23700"/>
    <s v="VL-110L"/>
    <s v="s/ dados"/>
    <m/>
    <n v="218657"/>
    <x v="1"/>
  </r>
  <r>
    <n v="6857"/>
    <x v="1"/>
    <x v="1"/>
    <x v="9"/>
    <n v="67632"/>
    <s v="Desg. Irregular"/>
    <n v="96646"/>
    <s v="DVR-M"/>
    <x v="0"/>
    <n v="31032"/>
    <s v="VL-110L"/>
    <s v="Furado"/>
    <s v="Sucata"/>
    <n v="195310"/>
    <x v="1"/>
  </r>
  <r>
    <n v="6858"/>
    <x v="1"/>
    <x v="1"/>
    <x v="10"/>
    <n v="85407"/>
    <s v="Furado"/>
    <m/>
    <m/>
    <x v="1"/>
    <m/>
    <m/>
    <m/>
    <s v="Sucata"/>
    <n v="85407"/>
    <x v="1"/>
  </r>
  <r>
    <n v="6859"/>
    <x v="1"/>
    <x v="1"/>
    <x v="11"/>
    <n v="68698"/>
    <s v="Furado"/>
    <n v="56518"/>
    <s v="G665"/>
    <x v="3"/>
    <m/>
    <m/>
    <m/>
    <s v="Sucata"/>
    <n v="125216"/>
    <x v="1"/>
  </r>
  <r>
    <n v="6860"/>
    <x v="1"/>
    <x v="1"/>
    <x v="12"/>
    <n v="66768"/>
    <s v="Furado"/>
    <n v="51335"/>
    <s v="DVR-M"/>
    <x v="0"/>
    <n v="62945"/>
    <s v="VL-110L"/>
    <s v="Liso"/>
    <s v="Sucata"/>
    <n v="181048"/>
    <x v="1"/>
  </r>
  <r>
    <n v="6861"/>
    <x v="1"/>
    <x v="1"/>
    <x v="10"/>
    <n v="47715"/>
    <s v="Furado"/>
    <n v="56662"/>
    <s v="G665"/>
    <x v="3"/>
    <n v="30406"/>
    <s v="G665"/>
    <s v="Infiltração"/>
    <s v="Sucata"/>
    <n v="134783"/>
    <x v="1"/>
  </r>
  <r>
    <n v="6862"/>
    <x v="1"/>
    <x v="1"/>
    <x v="13"/>
    <n v="79400"/>
    <s v="Liso"/>
    <n v="70946"/>
    <s v="DVR-M"/>
    <x v="3"/>
    <m/>
    <m/>
    <m/>
    <s v="Sucata"/>
    <n v="150346"/>
    <x v="1"/>
  </r>
  <r>
    <n v="6863"/>
    <x v="1"/>
    <x v="1"/>
    <x v="9"/>
    <n v="95601"/>
    <s v="Liso"/>
    <n v="94612"/>
    <s v="DVR-M"/>
    <x v="0"/>
    <n v="23700"/>
    <s v="VL-110L"/>
    <s v="s/ dados"/>
    <m/>
    <n v="213913"/>
    <x v="1"/>
  </r>
  <r>
    <n v="6864"/>
    <x v="1"/>
    <x v="1"/>
    <x v="11"/>
    <n v="83782"/>
    <s v="Infiltração"/>
    <m/>
    <m/>
    <x v="1"/>
    <m/>
    <m/>
    <m/>
    <s v="Sucata"/>
    <n v="83782"/>
    <x v="1"/>
  </r>
  <r>
    <n v="6865"/>
    <x v="1"/>
    <x v="1"/>
    <x v="8"/>
    <n v="142357"/>
    <s v="Liso"/>
    <n v="90713"/>
    <s v="DVR-M"/>
    <x v="0"/>
    <n v="38673"/>
    <s v="VL-110L"/>
    <s v="s/ dados"/>
    <m/>
    <n v="271743"/>
    <x v="1"/>
  </r>
  <r>
    <n v="6866"/>
    <x v="1"/>
    <x v="1"/>
    <x v="14"/>
    <n v="88232"/>
    <s v="Liso"/>
    <n v="88635"/>
    <s v="DVR-M"/>
    <x v="0"/>
    <n v="52000"/>
    <s v="VL-110L"/>
    <s v="Liso"/>
    <s v="Sucata"/>
    <n v="228867"/>
    <x v="1"/>
  </r>
  <r>
    <n v="6867"/>
    <x v="1"/>
    <x v="1"/>
    <x v="12"/>
    <n v="114620"/>
    <s v="Liso"/>
    <n v="44908"/>
    <s v="DVR-M"/>
    <x v="4"/>
    <m/>
    <m/>
    <m/>
    <m/>
    <n v="159528"/>
    <x v="1"/>
  </r>
  <r>
    <n v="6868"/>
    <x v="1"/>
    <x v="1"/>
    <x v="8"/>
    <n v="126422"/>
    <s v="Liso"/>
    <n v="96055"/>
    <s v="DVR-M"/>
    <x v="0"/>
    <n v="30557"/>
    <s v="VL-110L"/>
    <s v="Infiltração"/>
    <s v="Sucata"/>
    <n v="253034"/>
    <x v="1"/>
  </r>
  <r>
    <n v="6869"/>
    <x v="1"/>
    <x v="1"/>
    <x v="8"/>
    <n v="126422"/>
    <s v="Liso"/>
    <n v="82727"/>
    <s v="DVR-M"/>
    <x v="3"/>
    <m/>
    <m/>
    <m/>
    <s v="Sucata"/>
    <n v="209149"/>
    <x v="1"/>
  </r>
  <r>
    <n v="6870"/>
    <x v="1"/>
    <x v="1"/>
    <x v="13"/>
    <n v="88601"/>
    <s v="Liso"/>
    <n v="102407"/>
    <s v="DVR-M"/>
    <x v="4"/>
    <m/>
    <m/>
    <m/>
    <m/>
    <n v="191008"/>
    <x v="2"/>
  </r>
  <r>
    <n v="6871"/>
    <x v="1"/>
    <x v="1"/>
    <x v="13"/>
    <n v="115250"/>
    <s v="Liso"/>
    <n v="107606"/>
    <s v="DVR-M"/>
    <x v="2"/>
    <m/>
    <m/>
    <m/>
    <s v="Sucata"/>
    <n v="222856"/>
    <x v="2"/>
  </r>
  <r>
    <n v="6872"/>
    <x v="1"/>
    <x v="1"/>
    <x v="13"/>
    <n v="29810"/>
    <s v="Liso"/>
    <n v="77044"/>
    <s v="DVR-M"/>
    <x v="4"/>
    <n v="102407"/>
    <s v="DVR-M"/>
    <m/>
    <m/>
    <n v="209261"/>
    <x v="2"/>
  </r>
  <r>
    <n v="6873"/>
    <x v="1"/>
    <x v="1"/>
    <x v="5"/>
    <n v="97557"/>
    <s v="Liso"/>
    <n v="94612"/>
    <s v="DVR-M"/>
    <x v="0"/>
    <n v="48417"/>
    <s v="VL-110L"/>
    <s v="Infiltração"/>
    <s v="Sucata"/>
    <n v="240586"/>
    <x v="2"/>
  </r>
  <r>
    <n v="6874"/>
    <x v="1"/>
    <x v="1"/>
    <x v="13"/>
    <n v="98080"/>
    <s v="Liso"/>
    <n v="98717"/>
    <s v="DVR-M"/>
    <x v="2"/>
    <m/>
    <m/>
    <m/>
    <s v="Sucata"/>
    <n v="196797"/>
    <x v="2"/>
  </r>
  <r>
    <n v="6875"/>
    <x v="1"/>
    <x v="1"/>
    <x v="13"/>
    <n v="86175"/>
    <s v="Liso"/>
    <n v="85984"/>
    <s v="DVR-M"/>
    <x v="0"/>
    <m/>
    <m/>
    <m/>
    <s v="Sucata"/>
    <n v="172159"/>
    <x v="3"/>
  </r>
  <r>
    <n v="6888"/>
    <x v="1"/>
    <x v="1"/>
    <x v="15"/>
    <n v="100537"/>
    <s v="Liso"/>
    <n v="107606"/>
    <s v="DVR-M"/>
    <x v="0"/>
    <m/>
    <m/>
    <m/>
    <s v="Sucata"/>
    <n v="208143"/>
    <x v="3"/>
  </r>
  <r>
    <n v="6889"/>
    <x v="1"/>
    <x v="1"/>
    <x v="15"/>
    <n v="123875"/>
    <s v="Furado"/>
    <m/>
    <m/>
    <x v="1"/>
    <m/>
    <m/>
    <m/>
    <s v="Sucata"/>
    <n v="123875"/>
    <x v="3"/>
  </r>
  <r>
    <n v="6890"/>
    <x v="1"/>
    <x v="1"/>
    <x v="15"/>
    <n v="132830"/>
    <s v="Liso"/>
    <n v="74868"/>
    <s v="DVR-M"/>
    <x v="0"/>
    <m/>
    <m/>
    <m/>
    <s v="Sucata"/>
    <n v="207698"/>
    <x v="3"/>
  </r>
  <r>
    <n v="6891"/>
    <x v="1"/>
    <x v="1"/>
    <x v="15"/>
    <n v="96583"/>
    <s v="Furado"/>
    <m/>
    <m/>
    <x v="1"/>
    <m/>
    <m/>
    <m/>
    <s v="Sucata"/>
    <n v="96583"/>
    <x v="3"/>
  </r>
  <r>
    <n v="6910"/>
    <x v="1"/>
    <x v="1"/>
    <x v="16"/>
    <n v="125751"/>
    <s v="Liso"/>
    <n v="72006"/>
    <s v="DVR-M"/>
    <x v="2"/>
    <m/>
    <m/>
    <m/>
    <s v="Sucata"/>
    <n v="197757"/>
    <x v="3"/>
  </r>
  <r>
    <n v="6911"/>
    <x v="1"/>
    <x v="1"/>
    <x v="16"/>
    <n v="102115"/>
    <s v="Furado"/>
    <m/>
    <m/>
    <x v="1"/>
    <m/>
    <m/>
    <m/>
    <s v="Sucata"/>
    <n v="102115"/>
    <x v="3"/>
  </r>
  <r>
    <n v="6912"/>
    <x v="1"/>
    <x v="1"/>
    <x v="15"/>
    <n v="101588"/>
    <s v="Liso"/>
    <n v="97639"/>
    <s v="DVR-M"/>
    <x v="0"/>
    <m/>
    <m/>
    <m/>
    <s v="Sucata"/>
    <n v="199227"/>
    <x v="3"/>
  </r>
  <r>
    <n v="6913"/>
    <x v="1"/>
    <x v="1"/>
    <x v="16"/>
    <n v="107149"/>
    <s v="Liso"/>
    <n v="77115"/>
    <s v="DVR-M"/>
    <x v="0"/>
    <m/>
    <m/>
    <m/>
    <s v="Sucata"/>
    <n v="184264"/>
    <x v="3"/>
  </r>
  <r>
    <n v="6924"/>
    <x v="1"/>
    <x v="1"/>
    <x v="17"/>
    <n v="138084"/>
    <s v="Liso"/>
    <n v="93088"/>
    <s v="DVR-M"/>
    <x v="4"/>
    <m/>
    <m/>
    <m/>
    <m/>
    <n v="231172"/>
    <x v="3"/>
  </r>
  <r>
    <n v="6925"/>
    <x v="1"/>
    <x v="1"/>
    <x v="17"/>
    <n v="138084"/>
    <s v="Liso"/>
    <n v="93088"/>
    <s v="DVR-M"/>
    <x v="4"/>
    <m/>
    <m/>
    <m/>
    <m/>
    <n v="231172"/>
    <x v="3"/>
  </r>
  <r>
    <n v="6926"/>
    <x v="1"/>
    <x v="1"/>
    <x v="17"/>
    <n v="108428"/>
    <s v="Liso"/>
    <n v="95316"/>
    <s v="BusPlus"/>
    <x v="0"/>
    <n v="39631"/>
    <s v="VL-110L"/>
    <s v="Liso"/>
    <s v="Sucata"/>
    <n v="243375"/>
    <x v="3"/>
  </r>
  <r>
    <n v="6927"/>
    <x v="1"/>
    <x v="1"/>
    <x v="18"/>
    <n v="108428"/>
    <s v="Liso"/>
    <n v="95316"/>
    <s v="BusPlus"/>
    <x v="0"/>
    <n v="31415"/>
    <s v="VL-110L"/>
    <s v="Infiltração"/>
    <s v="Sucata"/>
    <n v="235159"/>
    <x v="3"/>
  </r>
  <r>
    <n v="6928"/>
    <x v="1"/>
    <x v="1"/>
    <x v="17"/>
    <n v="123045"/>
    <s v="Liso"/>
    <n v="95316"/>
    <s v="BusPlus"/>
    <x v="0"/>
    <n v="35931"/>
    <s v="VL-110L"/>
    <s v="Liso"/>
    <s v="Sucata"/>
    <n v="254292"/>
    <x v="3"/>
  </r>
  <r>
    <n v="6929"/>
    <x v="1"/>
    <x v="1"/>
    <x v="17"/>
    <n v="114514"/>
    <s v="Liso"/>
    <n v="67410"/>
    <s v="DVR-M"/>
    <x v="4"/>
    <m/>
    <m/>
    <m/>
    <m/>
    <n v="181924"/>
    <x v="3"/>
  </r>
  <r>
    <n v="6930"/>
    <x v="1"/>
    <x v="1"/>
    <x v="17"/>
    <n v="107138"/>
    <s v="Furado"/>
    <n v="37028"/>
    <s v="DVR-M"/>
    <x v="2"/>
    <m/>
    <m/>
    <m/>
    <s v="Sucata"/>
    <n v="144166"/>
    <x v="3"/>
  </r>
  <r>
    <n v="6931"/>
    <x v="1"/>
    <x v="1"/>
    <x v="17"/>
    <n v="130214"/>
    <s v="Liso"/>
    <n v="95257"/>
    <s v="DVR-M"/>
    <x v="4"/>
    <m/>
    <m/>
    <m/>
    <m/>
    <n v="225471"/>
    <x v="3"/>
  </r>
  <r>
    <n v="6954"/>
    <x v="1"/>
    <x v="1"/>
    <x v="19"/>
    <n v="92815"/>
    <s v="Furado"/>
    <n v="96419"/>
    <s v="DVR-M"/>
    <x v="0"/>
    <m/>
    <m/>
    <m/>
    <s v="Sucata"/>
    <n v="189234"/>
    <x v="3"/>
  </r>
  <r>
    <n v="6955"/>
    <x v="1"/>
    <x v="1"/>
    <x v="20"/>
    <n v="132199"/>
    <s v="Liso"/>
    <n v="67410"/>
    <s v="DVR-M"/>
    <x v="4"/>
    <m/>
    <m/>
    <m/>
    <m/>
    <n v="199609"/>
    <x v="3"/>
  </r>
  <r>
    <n v="6956"/>
    <x v="1"/>
    <x v="1"/>
    <x v="21"/>
    <n v="118512"/>
    <s v="Liso"/>
    <n v="95316"/>
    <s v="BusPlus"/>
    <x v="0"/>
    <n v="14956"/>
    <s v="VL-110L"/>
    <s v="s/ dados"/>
    <m/>
    <n v="228784"/>
    <x v="3"/>
  </r>
  <r>
    <n v="6957"/>
    <x v="1"/>
    <x v="1"/>
    <x v="21"/>
    <n v="110482"/>
    <s v="Liso"/>
    <n v="67410"/>
    <s v="DVR-M"/>
    <x v="4"/>
    <m/>
    <m/>
    <m/>
    <m/>
    <n v="177892"/>
    <x v="3"/>
  </r>
  <r>
    <n v="6964"/>
    <x v="1"/>
    <x v="1"/>
    <x v="22"/>
    <n v="127850"/>
    <s v="Liso"/>
    <n v="85885"/>
    <s v="DVR-M"/>
    <x v="4"/>
    <m/>
    <m/>
    <m/>
    <m/>
    <n v="213735"/>
    <x v="3"/>
  </r>
  <r>
    <n v="6965"/>
    <x v="1"/>
    <x v="1"/>
    <x v="23"/>
    <n v="98428"/>
    <s v="Liso"/>
    <n v="74367"/>
    <s v="BusPlus"/>
    <x v="2"/>
    <m/>
    <m/>
    <m/>
    <s v="Sucata"/>
    <n v="172795"/>
    <x v="3"/>
  </r>
  <r>
    <n v="6966"/>
    <x v="1"/>
    <x v="1"/>
    <x v="22"/>
    <n v="58877"/>
    <s v="Infiltração"/>
    <m/>
    <m/>
    <x v="1"/>
    <m/>
    <m/>
    <m/>
    <s v="Sucata"/>
    <n v="58877"/>
    <x v="3"/>
  </r>
  <r>
    <n v="6967"/>
    <x v="1"/>
    <x v="1"/>
    <x v="23"/>
    <n v="159165"/>
    <s v="Liso"/>
    <n v="124564"/>
    <s v="BusPlus"/>
    <x v="0"/>
    <m/>
    <m/>
    <m/>
    <s v="Sucata"/>
    <n v="283729"/>
    <x v="3"/>
  </r>
  <r>
    <n v="6968"/>
    <x v="1"/>
    <x v="1"/>
    <x v="22"/>
    <n v="87540"/>
    <s v="Desg. Irregular"/>
    <n v="89100"/>
    <s v="DVR-M"/>
    <x v="0"/>
    <m/>
    <m/>
    <m/>
    <s v="Sucata"/>
    <n v="176640"/>
    <x v="3"/>
  </r>
  <r>
    <n v="6969"/>
    <x v="1"/>
    <x v="1"/>
    <x v="23"/>
    <n v="112367"/>
    <s v="Liso"/>
    <n v="83619"/>
    <s v="DVR-M"/>
    <x v="0"/>
    <m/>
    <m/>
    <m/>
    <s v="Sucata"/>
    <n v="195986"/>
    <x v="3"/>
  </r>
  <r>
    <n v="6970"/>
    <x v="1"/>
    <x v="1"/>
    <x v="23"/>
    <n v="70155"/>
    <s v="Liso"/>
    <n v="95643"/>
    <s v="DVR-M"/>
    <x v="0"/>
    <m/>
    <m/>
    <m/>
    <s v="Sucata"/>
    <n v="165798"/>
    <x v="3"/>
  </r>
  <r>
    <n v="6971"/>
    <x v="1"/>
    <x v="1"/>
    <x v="22"/>
    <n v="70155"/>
    <s v="Liso"/>
    <n v="95643"/>
    <s v="DVR-M"/>
    <x v="0"/>
    <m/>
    <m/>
    <m/>
    <s v="Sucata"/>
    <n v="165798"/>
    <x v="3"/>
  </r>
  <r>
    <n v="6976"/>
    <x v="1"/>
    <x v="1"/>
    <x v="24"/>
    <n v="140581"/>
    <s v="Liso"/>
    <n v="34918"/>
    <s v="BusPlus"/>
    <x v="2"/>
    <m/>
    <m/>
    <m/>
    <s v="Sucata"/>
    <n v="175499"/>
    <x v="3"/>
  </r>
  <r>
    <n v="6977"/>
    <x v="1"/>
    <x v="1"/>
    <x v="25"/>
    <n v="121446"/>
    <s v="Liso"/>
    <n v="39278"/>
    <s v="DVR-M"/>
    <x v="2"/>
    <m/>
    <m/>
    <m/>
    <s v="Sucata"/>
    <n v="160724"/>
    <x v="3"/>
  </r>
  <r>
    <n v="6978"/>
    <x v="1"/>
    <x v="1"/>
    <x v="24"/>
    <n v="111062"/>
    <s v="Liso"/>
    <n v="66140"/>
    <s v="BusPlus"/>
    <x v="2"/>
    <m/>
    <m/>
    <m/>
    <s v="Sucata"/>
    <n v="177202"/>
    <x v="3"/>
  </r>
  <r>
    <n v="6979"/>
    <x v="1"/>
    <x v="1"/>
    <x v="24"/>
    <n v="87515"/>
    <s v="Liso"/>
    <n v="52062"/>
    <s v="DVR-M"/>
    <x v="2"/>
    <m/>
    <m/>
    <m/>
    <s v="Sucata"/>
    <n v="139577"/>
    <x v="3"/>
  </r>
  <r>
    <n v="6980"/>
    <x v="1"/>
    <x v="1"/>
    <x v="22"/>
    <n v="115723"/>
    <s v="Liso"/>
    <n v="89967"/>
    <s v="BusPlus"/>
    <x v="0"/>
    <n v="16726"/>
    <s v="VL-110L"/>
    <s v="Infiltração"/>
    <s v="Sucata"/>
    <n v="222416"/>
    <x v="3"/>
  </r>
  <r>
    <n v="6981"/>
    <x v="1"/>
    <x v="1"/>
    <x v="22"/>
    <n v="130131"/>
    <s v="Liso"/>
    <n v="55699"/>
    <s v="DVR-M"/>
    <x v="2"/>
    <m/>
    <m/>
    <m/>
    <s v="Sucata"/>
    <n v="185830"/>
    <x v="3"/>
  </r>
  <r>
    <n v="6982"/>
    <x v="1"/>
    <x v="1"/>
    <x v="22"/>
    <n v="122553"/>
    <s v="Liso"/>
    <n v="93038"/>
    <s v="DVR-M"/>
    <x v="4"/>
    <m/>
    <m/>
    <m/>
    <m/>
    <n v="215591"/>
    <x v="3"/>
  </r>
  <r>
    <n v="6983"/>
    <x v="1"/>
    <x v="1"/>
    <x v="22"/>
    <n v="118259"/>
    <s v="Liso"/>
    <m/>
    <m/>
    <x v="2"/>
    <m/>
    <m/>
    <m/>
    <s v="Sucata"/>
    <n v="118259"/>
    <x v="3"/>
  </r>
  <r>
    <n v="6984"/>
    <x v="1"/>
    <x v="1"/>
    <x v="24"/>
    <n v="124113"/>
    <s v="Liso"/>
    <m/>
    <m/>
    <x v="2"/>
    <m/>
    <m/>
    <m/>
    <s v="Sucata"/>
    <n v="124113"/>
    <x v="3"/>
  </r>
  <r>
    <n v="6985"/>
    <x v="1"/>
    <x v="1"/>
    <x v="24"/>
    <n v="126296"/>
    <s v="Liso"/>
    <n v="27670"/>
    <s v="DVR-M"/>
    <x v="2"/>
    <m/>
    <m/>
    <m/>
    <s v="Sucata"/>
    <n v="153966"/>
    <x v="3"/>
  </r>
  <r>
    <n v="6986"/>
    <x v="1"/>
    <x v="1"/>
    <x v="24"/>
    <n v="140148"/>
    <s v="Liso"/>
    <n v="23700"/>
    <s v="DVR-M"/>
    <x v="4"/>
    <m/>
    <m/>
    <m/>
    <m/>
    <n v="163848"/>
    <x v="3"/>
  </r>
  <r>
    <n v="6987"/>
    <x v="1"/>
    <x v="1"/>
    <x v="24"/>
    <n v="105617"/>
    <s v="Liso"/>
    <n v="71643"/>
    <s v="DVR-M"/>
    <x v="3"/>
    <m/>
    <m/>
    <m/>
    <s v="Sucata"/>
    <n v="177260"/>
    <x v="3"/>
  </r>
  <r>
    <n v="6988"/>
    <x v="1"/>
    <x v="1"/>
    <x v="22"/>
    <n v="86503"/>
    <s v="Infiltração"/>
    <m/>
    <m/>
    <x v="1"/>
    <m/>
    <m/>
    <m/>
    <s v="Sucata"/>
    <n v="86503"/>
    <x v="3"/>
  </r>
  <r>
    <n v="6989"/>
    <x v="1"/>
    <x v="1"/>
    <x v="25"/>
    <n v="110121"/>
    <s v="Liso"/>
    <n v="54562"/>
    <s v="DVR-M"/>
    <x v="2"/>
    <m/>
    <m/>
    <m/>
    <s v="Sucata"/>
    <n v="164683"/>
    <x v="3"/>
  </r>
  <r>
    <n v="7004"/>
    <x v="1"/>
    <x v="2"/>
    <x v="26"/>
    <n v="82182"/>
    <s v="Liso"/>
    <n v="95643"/>
    <s v="DVR-M"/>
    <x v="0"/>
    <m/>
    <m/>
    <m/>
    <s v="Sucata"/>
    <n v="177825"/>
    <x v="4"/>
  </r>
  <r>
    <n v="7005"/>
    <x v="1"/>
    <x v="2"/>
    <x v="27"/>
    <n v="64731"/>
    <s v="Liso"/>
    <n v="61940"/>
    <s v="DVR-M"/>
    <x v="3"/>
    <n v="48845"/>
    <s v="DVR-M"/>
    <s v="Infiltração"/>
    <s v="Sucata"/>
    <n v="175516"/>
    <x v="4"/>
  </r>
  <r>
    <n v="7006"/>
    <x v="1"/>
    <x v="2"/>
    <x v="27"/>
    <n v="50050"/>
    <s v="Furado"/>
    <n v="105910"/>
    <s v="DVR-M"/>
    <x v="0"/>
    <n v="14098"/>
    <s v="VL-110L"/>
    <s v="s/ dados"/>
    <m/>
    <n v="170058"/>
    <x v="4"/>
  </r>
  <r>
    <n v="7007"/>
    <x v="1"/>
    <x v="2"/>
    <x v="27"/>
    <n v="56569"/>
    <s v="Liso"/>
    <n v="79330"/>
    <s v="DVR-M"/>
    <x v="2"/>
    <m/>
    <m/>
    <m/>
    <s v="Sucata"/>
    <n v="135899"/>
    <x v="4"/>
  </r>
  <r>
    <n v="7018"/>
    <x v="1"/>
    <x v="2"/>
    <x v="28"/>
    <n v="72081"/>
    <s v="Liso"/>
    <n v="121556"/>
    <s v="DVR-M"/>
    <x v="0"/>
    <n v="32467"/>
    <s v="VL-110L"/>
    <s v="s/ dados"/>
    <m/>
    <n v="226104"/>
    <x v="4"/>
  </r>
  <r>
    <n v="7019"/>
    <x v="1"/>
    <x v="2"/>
    <x v="28"/>
    <n v="53342"/>
    <s v="Desg. Irregular"/>
    <n v="95257"/>
    <s v="DVR-M"/>
    <x v="4"/>
    <m/>
    <m/>
    <m/>
    <m/>
    <n v="148599"/>
    <x v="4"/>
  </r>
  <r>
    <n v="7020"/>
    <x v="1"/>
    <x v="2"/>
    <x v="28"/>
    <n v="79152"/>
    <s v="Liso"/>
    <n v="93680"/>
    <s v="BusPlus"/>
    <x v="0"/>
    <m/>
    <m/>
    <m/>
    <s v="Sucata"/>
    <n v="172832"/>
    <x v="4"/>
  </r>
  <r>
    <n v="7021"/>
    <x v="1"/>
    <x v="2"/>
    <x v="28"/>
    <n v="93560"/>
    <s v="Liso"/>
    <n v="74029"/>
    <s v="DVR-M"/>
    <x v="2"/>
    <m/>
    <m/>
    <m/>
    <s v="Sucata"/>
    <n v="167589"/>
    <x v="4"/>
  </r>
  <r>
    <n v="7044"/>
    <x v="2"/>
    <x v="3"/>
    <x v="29"/>
    <n v="104174"/>
    <s v="Liso"/>
    <n v="44544"/>
    <s v="BusPlus"/>
    <x v="3"/>
    <m/>
    <m/>
    <m/>
    <s v="Sucata"/>
    <n v="148718"/>
    <x v="5"/>
  </r>
  <r>
    <n v="7045"/>
    <x v="2"/>
    <x v="3"/>
    <x v="30"/>
    <n v="104174"/>
    <s v="Liso"/>
    <n v="124466"/>
    <s v="BusPlus"/>
    <x v="0"/>
    <n v="32467"/>
    <s v="X-Incity"/>
    <s v="s/ dados"/>
    <m/>
    <n v="261107"/>
    <x v="5"/>
  </r>
  <r>
    <n v="7046"/>
    <x v="2"/>
    <x v="3"/>
    <x v="31"/>
    <n v="117604"/>
    <s v="Liso"/>
    <n v="63404"/>
    <s v="X-Incity"/>
    <x v="4"/>
    <m/>
    <m/>
    <m/>
    <m/>
    <n v="181008"/>
    <x v="5"/>
  </r>
  <r>
    <n v="7047"/>
    <x v="2"/>
    <x v="3"/>
    <x v="31"/>
    <n v="117604"/>
    <s v="Liso"/>
    <n v="110041"/>
    <s v="X-Incity"/>
    <x v="0"/>
    <m/>
    <m/>
    <m/>
    <s v="Sucata"/>
    <n v="227645"/>
    <x v="5"/>
  </r>
  <r>
    <n v="7048"/>
    <x v="2"/>
    <x v="3"/>
    <x v="30"/>
    <n v="87550"/>
    <s v="Liso"/>
    <n v="120618"/>
    <s v="X-Incity"/>
    <x v="0"/>
    <n v="91113"/>
    <s v="X-Incity"/>
    <s v="Infiltração"/>
    <s v="Sucata"/>
    <n v="299281"/>
    <x v="5"/>
  </r>
  <r>
    <n v="7049"/>
    <x v="2"/>
    <x v="3"/>
    <x v="30"/>
    <n v="87550"/>
    <s v="Liso"/>
    <n v="111782"/>
    <s v="X-Incity"/>
    <x v="3"/>
    <m/>
    <m/>
    <m/>
    <s v="Sucata"/>
    <n v="199332"/>
    <x v="5"/>
  </r>
  <r>
    <n v="7050"/>
    <x v="2"/>
    <x v="3"/>
    <x v="30"/>
    <n v="114425"/>
    <s v="Liso"/>
    <n v="63404"/>
    <s v="BusPlus"/>
    <x v="4"/>
    <m/>
    <m/>
    <m/>
    <m/>
    <n v="177829"/>
    <x v="5"/>
  </r>
  <r>
    <n v="7051"/>
    <x v="2"/>
    <x v="3"/>
    <x v="30"/>
    <n v="114425"/>
    <s v="Liso"/>
    <n v="63404"/>
    <s v="BusPlus"/>
    <x v="4"/>
    <m/>
    <m/>
    <m/>
    <m/>
    <n v="177829"/>
    <x v="5"/>
  </r>
  <r>
    <n v="7052"/>
    <x v="2"/>
    <x v="3"/>
    <x v="30"/>
    <n v="96258"/>
    <s v="Liso"/>
    <n v="134863"/>
    <s v="X-Incity"/>
    <x v="0"/>
    <m/>
    <m/>
    <m/>
    <s v="Sucata"/>
    <n v="231121"/>
    <x v="5"/>
  </r>
  <r>
    <n v="7053"/>
    <x v="2"/>
    <x v="3"/>
    <x v="30"/>
    <n v="110166"/>
    <s v="Liso"/>
    <n v="19818"/>
    <s v="DVR-M"/>
    <x v="4"/>
    <m/>
    <m/>
    <m/>
    <m/>
    <n v="129984"/>
    <x v="5"/>
  </r>
  <r>
    <n v="7074"/>
    <x v="2"/>
    <x v="3"/>
    <x v="30"/>
    <n v="113217"/>
    <s v="Liso"/>
    <n v="113972"/>
    <s v="X-Incity"/>
    <x v="0"/>
    <n v="54843"/>
    <s v="X-Incity"/>
    <s v="Furado"/>
    <s v="Sucata"/>
    <n v="282032"/>
    <x v="5"/>
  </r>
  <r>
    <n v="7075"/>
    <x v="2"/>
    <x v="3"/>
    <x v="30"/>
    <n v="113217"/>
    <s v="Liso"/>
    <n v="131859"/>
    <s v="X-Incity"/>
    <x v="0"/>
    <n v="14524"/>
    <s v="X-Incity"/>
    <s v="Infiltração"/>
    <s v="Sucata"/>
    <n v="259600"/>
    <x v="5"/>
  </r>
  <r>
    <n v="7076"/>
    <x v="2"/>
    <x v="3"/>
    <x v="30"/>
    <n v="95954"/>
    <s v="Liso"/>
    <m/>
    <s v="X-Incity"/>
    <x v="4"/>
    <m/>
    <m/>
    <m/>
    <m/>
    <n v="95954"/>
    <x v="5"/>
  </r>
  <r>
    <n v="7077"/>
    <x v="2"/>
    <x v="3"/>
    <x v="30"/>
    <n v="95954"/>
    <s v="Liso"/>
    <m/>
    <s v="X-Incity"/>
    <x v="4"/>
    <m/>
    <m/>
    <m/>
    <m/>
    <n v="95954"/>
    <x v="5"/>
  </r>
  <r>
    <n v="7086"/>
    <x v="2"/>
    <x v="3"/>
    <x v="32"/>
    <n v="94012"/>
    <s v="Liso"/>
    <n v="101439"/>
    <s v="X-Incity"/>
    <x v="4"/>
    <m/>
    <m/>
    <m/>
    <m/>
    <n v="195451"/>
    <x v="5"/>
  </r>
  <r>
    <n v="7087"/>
    <x v="2"/>
    <x v="3"/>
    <x v="32"/>
    <n v="94012"/>
    <s v="Liso"/>
    <n v="101439"/>
    <s v="X-Incity"/>
    <x v="4"/>
    <m/>
    <m/>
    <m/>
    <m/>
    <n v="195451"/>
    <x v="5"/>
  </r>
  <r>
    <n v="7088"/>
    <x v="2"/>
    <x v="3"/>
    <x v="32"/>
    <n v="93201"/>
    <s v="Liso"/>
    <m/>
    <s v="DVR-M"/>
    <x v="1"/>
    <m/>
    <m/>
    <m/>
    <n v="19052"/>
    <n v="93201"/>
    <x v="5"/>
  </r>
  <r>
    <n v="7089"/>
    <x v="2"/>
    <x v="3"/>
    <x v="32"/>
    <n v="119531"/>
    <s v="Liso"/>
    <n v="115456"/>
    <s v="X-Incity"/>
    <x v="0"/>
    <m/>
    <m/>
    <m/>
    <s v="Estoque"/>
    <n v="234987"/>
    <x v="5"/>
  </r>
  <r>
    <n v="7090"/>
    <x v="2"/>
    <x v="3"/>
    <x v="32"/>
    <n v="97650"/>
    <s v="Liso"/>
    <n v="108327"/>
    <s v="X-Incity"/>
    <x v="4"/>
    <n v="19275"/>
    <s v="X-Incity"/>
    <m/>
    <m/>
    <n v="225252"/>
    <x v="5"/>
  </r>
  <r>
    <n v="7091"/>
    <x v="2"/>
    <x v="3"/>
    <x v="33"/>
    <n v="86449"/>
    <s v="Corte na banda"/>
    <n v="63404"/>
    <s v="X-Incity"/>
    <x v="4"/>
    <m/>
    <m/>
    <m/>
    <m/>
    <n v="149853"/>
    <x v="5"/>
  </r>
  <r>
    <n v="7092"/>
    <x v="2"/>
    <x v="3"/>
    <x v="33"/>
    <n v="93902"/>
    <s v="Liso"/>
    <n v="101439"/>
    <s v="X-Incity"/>
    <x v="4"/>
    <m/>
    <m/>
    <m/>
    <m/>
    <n v="195341"/>
    <x v="5"/>
  </r>
  <r>
    <n v="7093"/>
    <x v="2"/>
    <x v="3"/>
    <x v="33"/>
    <n v="93902"/>
    <s v="Liso"/>
    <n v="80569"/>
    <s v="X-Incity"/>
    <x v="4"/>
    <m/>
    <m/>
    <m/>
    <m/>
    <n v="174471"/>
    <x v="5"/>
  </r>
  <r>
    <n v="7094"/>
    <x v="2"/>
    <x v="3"/>
    <x v="33"/>
    <n v="116909"/>
    <s v="Liso"/>
    <n v="80869"/>
    <s v="X-Incity"/>
    <x v="4"/>
    <m/>
    <m/>
    <m/>
    <m/>
    <n v="197778"/>
    <x v="5"/>
  </r>
  <r>
    <n v="7095"/>
    <x v="2"/>
    <x v="3"/>
    <x v="33"/>
    <n v="117369"/>
    <s v="Liso"/>
    <n v="101439"/>
    <s v="X-Incity"/>
    <x v="4"/>
    <m/>
    <m/>
    <m/>
    <m/>
    <n v="218808"/>
    <x v="5"/>
  </r>
  <r>
    <n v="7100"/>
    <x v="2"/>
    <x v="3"/>
    <x v="34"/>
    <n v="121031"/>
    <s v="Liso"/>
    <m/>
    <s v="X-Incity"/>
    <x v="4"/>
    <m/>
    <m/>
    <m/>
    <m/>
    <n v="121031"/>
    <x v="5"/>
  </r>
  <r>
    <n v="7101"/>
    <x v="2"/>
    <x v="3"/>
    <x v="34"/>
    <n v="121031"/>
    <s v="Liso"/>
    <m/>
    <s v="X-Incity"/>
    <x v="4"/>
    <m/>
    <m/>
    <m/>
    <m/>
    <n v="121031"/>
    <x v="5"/>
  </r>
  <r>
    <n v="7102"/>
    <x v="2"/>
    <x v="3"/>
    <x v="34"/>
    <n v="73572"/>
    <s v="Furado"/>
    <m/>
    <m/>
    <x v="1"/>
    <m/>
    <m/>
    <m/>
    <s v="Sucata"/>
    <n v="73572"/>
    <x v="5"/>
  </r>
  <r>
    <n v="7103"/>
    <x v="2"/>
    <x v="3"/>
    <x v="34"/>
    <n v="101192"/>
    <s v="Liso"/>
    <n v="80197"/>
    <s v="X-Incity"/>
    <x v="3"/>
    <m/>
    <m/>
    <m/>
    <s v="Sucata"/>
    <n v="181389"/>
    <x v="5"/>
  </r>
  <r>
    <n v="7104"/>
    <x v="2"/>
    <x v="3"/>
    <x v="34"/>
    <n v="99591"/>
    <s v="Liso"/>
    <n v="134189"/>
    <s v="X-Incity"/>
    <x v="0"/>
    <n v="20020"/>
    <s v="X-Incity"/>
    <s v="Corte lateral"/>
    <s v="Sucata"/>
    <n v="253800"/>
    <x v="5"/>
  </r>
  <r>
    <n v="7105"/>
    <x v="2"/>
    <x v="3"/>
    <x v="34"/>
    <n v="79549"/>
    <s v="Furado"/>
    <n v="123815"/>
    <s v="X-Incity"/>
    <x v="0"/>
    <m/>
    <m/>
    <m/>
    <s v="Sucata"/>
    <n v="203364"/>
    <x v="5"/>
  </r>
  <r>
    <n v="7114"/>
    <x v="2"/>
    <x v="3"/>
    <x v="33"/>
    <n v="105688"/>
    <s v="Liso"/>
    <n v="84774"/>
    <s v="X-Incity"/>
    <x v="0"/>
    <n v="30276"/>
    <s v="X-Incity"/>
    <s v="Infiltração"/>
    <s v="Sucata"/>
    <n v="220738"/>
    <x v="5"/>
  </r>
  <r>
    <n v="7115"/>
    <x v="2"/>
    <x v="3"/>
    <x v="32"/>
    <n v="105688"/>
    <s v="Liso"/>
    <m/>
    <s v="X-Incity"/>
    <x v="4"/>
    <m/>
    <m/>
    <m/>
    <m/>
    <n v="105688"/>
    <x v="5"/>
  </r>
  <r>
    <n v="7134"/>
    <x v="2"/>
    <x v="3"/>
    <x v="34"/>
    <n v="94274"/>
    <s v="Liso"/>
    <n v="101439"/>
    <s v="X-Incity"/>
    <x v="0"/>
    <n v="66830"/>
    <s v="X-Incity"/>
    <s v="Furado"/>
    <s v="Conserto"/>
    <n v="262543"/>
    <x v="5"/>
  </r>
  <r>
    <n v="7135"/>
    <x v="2"/>
    <x v="3"/>
    <x v="34"/>
    <n v="94274"/>
    <s v="Liso"/>
    <n v="75577"/>
    <s v="X-Incity"/>
    <x v="2"/>
    <m/>
    <m/>
    <m/>
    <s v="Sucata"/>
    <n v="169851"/>
    <x v="5"/>
  </r>
  <r>
    <n v="7136"/>
    <x v="2"/>
    <x v="3"/>
    <x v="34"/>
    <n v="109731"/>
    <s v="Liso"/>
    <n v="62977"/>
    <s v="X-Incity"/>
    <x v="2"/>
    <m/>
    <m/>
    <m/>
    <s v="Sucata"/>
    <n v="172708"/>
    <x v="5"/>
  </r>
  <r>
    <n v="7137"/>
    <x v="2"/>
    <x v="3"/>
    <x v="34"/>
    <n v="97650"/>
    <s v="Liso"/>
    <n v="142305"/>
    <s v="X-Incity"/>
    <x v="0"/>
    <n v="47000"/>
    <s v="X-Incity"/>
    <m/>
    <n v="19053"/>
    <n v="286955"/>
    <x v="5"/>
  </r>
  <r>
    <n v="7138"/>
    <x v="2"/>
    <x v="3"/>
    <x v="35"/>
    <n v="103332"/>
    <s v="Liso"/>
    <n v="115598"/>
    <s v="X-Incity"/>
    <x v="0"/>
    <m/>
    <s v="DVR-M"/>
    <m/>
    <n v="19056"/>
    <n v="218930"/>
    <x v="5"/>
  </r>
  <r>
    <n v="7139"/>
    <x v="2"/>
    <x v="3"/>
    <x v="35"/>
    <n v="54199"/>
    <s v="Furado"/>
    <m/>
    <m/>
    <x v="1"/>
    <m/>
    <m/>
    <m/>
    <s v="Sucata"/>
    <n v="54199"/>
    <x v="5"/>
  </r>
  <r>
    <n v="7140"/>
    <x v="2"/>
    <x v="3"/>
    <x v="35"/>
    <n v="110340"/>
    <s v="Liso"/>
    <n v="58912"/>
    <s v="X-Incity"/>
    <x v="3"/>
    <m/>
    <m/>
    <m/>
    <s v="Sucata"/>
    <n v="169252"/>
    <x v="5"/>
  </r>
  <r>
    <n v="7141"/>
    <x v="2"/>
    <x v="3"/>
    <x v="35"/>
    <n v="113775"/>
    <s v="Liso"/>
    <n v="75063"/>
    <s v="X-Incity"/>
    <x v="2"/>
    <m/>
    <m/>
    <m/>
    <s v="Sucata"/>
    <n v="188838"/>
    <x v="5"/>
  </r>
  <r>
    <n v="7142"/>
    <x v="2"/>
    <x v="3"/>
    <x v="35"/>
    <n v="85490"/>
    <s v="Liso"/>
    <n v="115902"/>
    <s v="X-Incity"/>
    <x v="0"/>
    <m/>
    <s v="X-Incity"/>
    <m/>
    <n v="8002"/>
    <n v="201392"/>
    <x v="5"/>
  </r>
  <r>
    <n v="7143"/>
    <x v="2"/>
    <x v="3"/>
    <x v="35"/>
    <n v="99298"/>
    <s v="Liso"/>
    <n v="84774"/>
    <s v="X-Incity"/>
    <x v="0"/>
    <n v="38567"/>
    <s v="X-Incity"/>
    <s v="Infiltração"/>
    <s v="Sucata"/>
    <n v="222639"/>
    <x v="5"/>
  </r>
  <r>
    <n v="7144"/>
    <x v="2"/>
    <x v="3"/>
    <x v="35"/>
    <n v="109731"/>
    <s v="Liso"/>
    <n v="80569"/>
    <s v="X-Incity"/>
    <x v="4"/>
    <m/>
    <m/>
    <m/>
    <m/>
    <n v="190300"/>
    <x v="6"/>
  </r>
  <r>
    <n v="7187"/>
    <x v="1"/>
    <x v="1"/>
    <x v="36"/>
    <n v="56328"/>
    <s v="s/ dados"/>
    <m/>
    <m/>
    <x v="1"/>
    <m/>
    <m/>
    <m/>
    <m/>
    <n v="56328"/>
    <x v="6"/>
  </r>
  <r>
    <n v="7188"/>
    <x v="1"/>
    <x v="1"/>
    <x v="36"/>
    <n v="56328"/>
    <s v="s/ dados"/>
    <m/>
    <m/>
    <x v="1"/>
    <m/>
    <m/>
    <m/>
    <m/>
    <n v="56328"/>
    <x v="6"/>
  </r>
  <r>
    <n v="7189"/>
    <x v="1"/>
    <x v="1"/>
    <x v="36"/>
    <n v="38110"/>
    <s v="s/ dados"/>
    <m/>
    <m/>
    <x v="1"/>
    <m/>
    <m/>
    <m/>
    <m/>
    <n v="38110"/>
    <x v="6"/>
  </r>
  <r>
    <n v="7190"/>
    <x v="1"/>
    <x v="1"/>
    <x v="36"/>
    <n v="70135"/>
    <s v="Liso"/>
    <n v="32467"/>
    <s v="DVR-M"/>
    <x v="4"/>
    <m/>
    <m/>
    <m/>
    <m/>
    <n v="102602"/>
    <x v="6"/>
  </r>
  <r>
    <n v="7191"/>
    <x v="1"/>
    <x v="1"/>
    <x v="37"/>
    <n v="83962"/>
    <s v="Liso"/>
    <n v="19818"/>
    <s v="DVR-M"/>
    <x v="4"/>
    <m/>
    <m/>
    <m/>
    <m/>
    <n v="103780"/>
    <x v="6"/>
  </r>
  <r>
    <n v="7192"/>
    <x v="1"/>
    <x v="1"/>
    <x v="37"/>
    <n v="83962"/>
    <s v="Liso"/>
    <n v="19818"/>
    <s v="DVR-M"/>
    <x v="4"/>
    <m/>
    <m/>
    <m/>
    <m/>
    <n v="103780"/>
    <x v="6"/>
  </r>
  <r>
    <n v="7193"/>
    <x v="1"/>
    <x v="1"/>
    <x v="37"/>
    <n v="70439"/>
    <s v="Liso"/>
    <n v="83619"/>
    <s v="DVR-M"/>
    <x v="0"/>
    <n v="28182"/>
    <s v="VL-110L"/>
    <s v="Infiltração"/>
    <s v="Sucata"/>
    <n v="182240"/>
    <x v="6"/>
  </r>
  <r>
    <n v="7194"/>
    <x v="1"/>
    <x v="2"/>
    <x v="38"/>
    <n v="56631"/>
    <s v="Furado"/>
    <m/>
    <m/>
    <x v="1"/>
    <m/>
    <m/>
    <m/>
    <s v="Sucata"/>
    <n v="56631"/>
    <x v="7"/>
  </r>
  <r>
    <n v="7195"/>
    <x v="1"/>
    <x v="2"/>
    <x v="38"/>
    <n v="71065"/>
    <s v="Liso"/>
    <n v="14346"/>
    <s v="DVR-M"/>
    <x v="4"/>
    <m/>
    <m/>
    <m/>
    <m/>
    <n v="85411"/>
    <x v="7"/>
  </r>
  <r>
    <n v="7196"/>
    <x v="1"/>
    <x v="2"/>
    <x v="38"/>
    <n v="71603"/>
    <s v="Liso"/>
    <n v="68311"/>
    <s v="DVR-M"/>
    <x v="0"/>
    <n v="36583"/>
    <s v="VL-110L"/>
    <m/>
    <s v="Sucata"/>
    <n v="176497"/>
    <x v="7"/>
  </r>
  <r>
    <n v="7197"/>
    <x v="1"/>
    <x v="2"/>
    <x v="38"/>
    <n v="23700"/>
    <s v="Liso"/>
    <m/>
    <s v="DVR-M"/>
    <x v="4"/>
    <m/>
    <m/>
    <m/>
    <m/>
    <n v="23700"/>
    <x v="7"/>
  </r>
  <r>
    <n v="7198"/>
    <x v="1"/>
    <x v="2"/>
    <x v="38"/>
    <n v="78985"/>
    <s v="Liso"/>
    <n v="14346"/>
    <s v="DVR-M"/>
    <x v="4"/>
    <m/>
    <m/>
    <m/>
    <m/>
    <n v="93331"/>
    <x v="7"/>
  </r>
  <r>
    <n v="7215"/>
    <x v="1"/>
    <x v="2"/>
    <x v="37"/>
    <n v="84679"/>
    <s v="Liso"/>
    <n v="67610"/>
    <s v="DVR-M"/>
    <x v="0"/>
    <n v="31219"/>
    <s v="VL-110L"/>
    <s v="Corte lateral"/>
    <s v="Sucata"/>
    <n v="183508"/>
    <x v="7"/>
  </r>
  <r>
    <n v="7216"/>
    <x v="1"/>
    <x v="2"/>
    <x v="39"/>
    <n v="97931"/>
    <s v="Liso"/>
    <n v="76719"/>
    <s v="DVR-M"/>
    <x v="0"/>
    <m/>
    <m/>
    <m/>
    <s v="Sucata"/>
    <n v="174650"/>
    <x v="7"/>
  </r>
  <r>
    <n v="7217"/>
    <x v="1"/>
    <x v="2"/>
    <x v="39"/>
    <n v="120736"/>
    <s v="Liso"/>
    <n v="52062"/>
    <s v="DVR-M"/>
    <x v="0"/>
    <n v="28182"/>
    <s v="VL-110L"/>
    <s v="Infiltração"/>
    <s v="Sucata"/>
    <n v="200980"/>
    <x v="7"/>
  </r>
  <r>
    <n v="7218"/>
    <x v="1"/>
    <x v="2"/>
    <x v="39"/>
    <n v="120736"/>
    <s v="Liso"/>
    <n v="26254"/>
    <s v="DVR-M"/>
    <x v="2"/>
    <m/>
    <m/>
    <m/>
    <s v="Sucata"/>
    <n v="146990"/>
    <x v="7"/>
  </r>
  <r>
    <n v="7219"/>
    <x v="1"/>
    <x v="2"/>
    <x v="39"/>
    <n v="61303"/>
    <s v="Furado"/>
    <m/>
    <m/>
    <x v="1"/>
    <m/>
    <m/>
    <m/>
    <s v="Sucata"/>
    <n v="61303"/>
    <x v="7"/>
  </r>
  <r>
    <n v="7220"/>
    <x v="1"/>
    <x v="2"/>
    <x v="39"/>
    <n v="119620"/>
    <s v="Liso"/>
    <n v="2620"/>
    <s v="DVR-M"/>
    <x v="1"/>
    <m/>
    <m/>
    <m/>
    <m/>
    <n v="122240"/>
    <x v="7"/>
  </r>
  <r>
    <n v="7221"/>
    <x v="1"/>
    <x v="2"/>
    <x v="40"/>
    <n v="122504"/>
    <s v="Liso"/>
    <n v="57536"/>
    <s v="DVR-M"/>
    <x v="0"/>
    <n v="34940"/>
    <s v="VL-110L"/>
    <s v="Liso"/>
    <s v="Estoque"/>
    <n v="214980"/>
    <x v="7"/>
  </r>
  <r>
    <n v="7222"/>
    <x v="1"/>
    <x v="2"/>
    <x v="40"/>
    <n v="72730"/>
    <s v="Furado"/>
    <m/>
    <m/>
    <x v="1"/>
    <m/>
    <m/>
    <m/>
    <m/>
    <n v="72730"/>
    <x v="7"/>
  </r>
  <r>
    <n v="7223"/>
    <x v="1"/>
    <x v="2"/>
    <x v="40"/>
    <n v="109572"/>
    <s v="Liso"/>
    <n v="77313"/>
    <s v="DVR-M"/>
    <x v="0"/>
    <n v="22093"/>
    <s v="VL-110L"/>
    <s v="Infiltração"/>
    <s v="Sucata"/>
    <n v="208978"/>
    <x v="7"/>
  </r>
  <r>
    <n v="7224"/>
    <x v="1"/>
    <x v="2"/>
    <x v="41"/>
    <n v="109572"/>
    <s v="Liso"/>
    <n v="72852"/>
    <s v="DVR-M"/>
    <x v="0"/>
    <m/>
    <s v="VL-110L"/>
    <m/>
    <n v="19053"/>
    <n v="182424"/>
    <x v="7"/>
  </r>
  <r>
    <n v="7225"/>
    <x v="1"/>
    <x v="2"/>
    <x v="41"/>
    <n v="69976"/>
    <s v="s/ dados"/>
    <m/>
    <m/>
    <x v="1"/>
    <m/>
    <m/>
    <m/>
    <m/>
    <n v="69976"/>
    <x v="7"/>
  </r>
  <r>
    <n v="7226"/>
    <x v="1"/>
    <x v="2"/>
    <x v="41"/>
    <n v="69976"/>
    <s v="s/ dados"/>
    <m/>
    <m/>
    <x v="1"/>
    <m/>
    <m/>
    <m/>
    <m/>
    <n v="69976"/>
    <x v="7"/>
  </r>
  <r>
    <n v="7227"/>
    <x v="1"/>
    <x v="2"/>
    <x v="42"/>
    <n v="81818"/>
    <s v="Desg. Irregular"/>
    <n v="44877"/>
    <s v="DVR-M"/>
    <x v="5"/>
    <m/>
    <m/>
    <m/>
    <s v="Sucata"/>
    <n v="126695"/>
    <x v="7"/>
  </r>
  <r>
    <n v="7228"/>
    <x v="1"/>
    <x v="2"/>
    <x v="43"/>
    <n v="86077"/>
    <s v="Liso"/>
    <n v="2914"/>
    <s v="DVR-M"/>
    <x v="4"/>
    <m/>
    <m/>
    <m/>
    <m/>
    <n v="88991"/>
    <x v="7"/>
  </r>
  <r>
    <n v="7245"/>
    <x v="1"/>
    <x v="1"/>
    <x v="44"/>
    <n v="121944"/>
    <s v="Liso"/>
    <n v="56305"/>
    <s v="DVR-M"/>
    <x v="2"/>
    <m/>
    <m/>
    <m/>
    <s v="Sucata"/>
    <n v="178249"/>
    <x v="7"/>
  </r>
  <r>
    <n v="7246"/>
    <x v="1"/>
    <x v="1"/>
    <x v="44"/>
    <n v="121944"/>
    <s v="Liso"/>
    <n v="59181"/>
    <s v="DVR-M"/>
    <x v="3"/>
    <m/>
    <m/>
    <m/>
    <s v="Sucata"/>
    <n v="181125"/>
    <x v="7"/>
  </r>
  <r>
    <n v="7247"/>
    <x v="1"/>
    <x v="1"/>
    <x v="44"/>
    <n v="30940"/>
    <s v="s/ dados"/>
    <m/>
    <m/>
    <x v="1"/>
    <m/>
    <m/>
    <m/>
    <m/>
    <n v="30940"/>
    <x v="7"/>
  </r>
  <r>
    <n v="7248"/>
    <x v="1"/>
    <x v="1"/>
    <x v="44"/>
    <n v="30940"/>
    <s v="s/ dados"/>
    <m/>
    <m/>
    <x v="1"/>
    <m/>
    <m/>
    <m/>
    <m/>
    <n v="30940"/>
    <x v="7"/>
  </r>
  <r>
    <n v="7255"/>
    <x v="1"/>
    <x v="1"/>
    <x v="45"/>
    <n v="112115"/>
    <s v="Liso"/>
    <n v="2914"/>
    <s v="DVR-M"/>
    <x v="4"/>
    <m/>
    <m/>
    <m/>
    <m/>
    <n v="115029"/>
    <x v="8"/>
  </r>
  <r>
    <n v="7256"/>
    <x v="1"/>
    <x v="1"/>
    <x v="45"/>
    <n v="112115"/>
    <s v="Liso"/>
    <n v="2620"/>
    <s v="DVR-M"/>
    <x v="4"/>
    <m/>
    <m/>
    <m/>
    <m/>
    <n v="114735"/>
    <x v="8"/>
  </r>
  <r>
    <n v="7257"/>
    <x v="1"/>
    <x v="1"/>
    <x v="46"/>
    <n v="31742"/>
    <s v="s/ dados"/>
    <m/>
    <m/>
    <x v="1"/>
    <m/>
    <m/>
    <m/>
    <m/>
    <n v="31742"/>
    <x v="8"/>
  </r>
  <r>
    <n v="7258"/>
    <x v="1"/>
    <x v="1"/>
    <x v="45"/>
    <n v="31742"/>
    <s v="s/ dados"/>
    <m/>
    <m/>
    <x v="1"/>
    <m/>
    <m/>
    <m/>
    <m/>
    <n v="31742"/>
    <x v="8"/>
  </r>
  <r>
    <n v="7259"/>
    <x v="1"/>
    <x v="1"/>
    <x v="45"/>
    <n v="100234"/>
    <s v="Furado"/>
    <n v="70037"/>
    <s v="DVR-M"/>
    <x v="0"/>
    <n v="44979"/>
    <s v="VL-110L"/>
    <s v="Liso"/>
    <s v="Sucata"/>
    <n v="215250"/>
    <x v="8"/>
  </r>
  <r>
    <n v="7260"/>
    <x v="1"/>
    <x v="1"/>
    <x v="45"/>
    <n v="14035"/>
    <s v="s/ dados"/>
    <m/>
    <m/>
    <x v="1"/>
    <m/>
    <m/>
    <m/>
    <m/>
    <n v="14035"/>
    <x v="8"/>
  </r>
  <r>
    <n v="7261"/>
    <x v="1"/>
    <x v="1"/>
    <x v="47"/>
    <n v="40446"/>
    <s v="s/ dados"/>
    <m/>
    <m/>
    <x v="1"/>
    <m/>
    <m/>
    <m/>
    <m/>
    <n v="40446"/>
    <x v="8"/>
  </r>
  <r>
    <n v="7262"/>
    <x v="1"/>
    <x v="1"/>
    <x v="45"/>
    <n v="40446"/>
    <s v="s/ dados"/>
    <m/>
    <m/>
    <x v="1"/>
    <m/>
    <m/>
    <m/>
    <m/>
    <n v="40446"/>
    <x v="8"/>
  </r>
  <r>
    <n v="7275"/>
    <x v="1"/>
    <x v="1"/>
    <x v="48"/>
    <n v="35687"/>
    <s v="s/ dados"/>
    <m/>
    <m/>
    <x v="1"/>
    <m/>
    <m/>
    <m/>
    <m/>
    <n v="35687"/>
    <x v="8"/>
  </r>
  <r>
    <n v="7276"/>
    <x v="1"/>
    <x v="1"/>
    <x v="48"/>
    <n v="35687"/>
    <s v="s/ dados"/>
    <m/>
    <m/>
    <x v="1"/>
    <m/>
    <m/>
    <m/>
    <m/>
    <n v="35687"/>
    <x v="8"/>
  </r>
  <r>
    <n v="7277"/>
    <x v="1"/>
    <x v="1"/>
    <x v="48"/>
    <n v="34038"/>
    <s v="s/ dados"/>
    <m/>
    <m/>
    <x v="1"/>
    <m/>
    <m/>
    <m/>
    <m/>
    <n v="34038"/>
    <x v="8"/>
  </r>
  <r>
    <n v="7278"/>
    <x v="1"/>
    <x v="1"/>
    <x v="48"/>
    <n v="34038"/>
    <s v="s/ dados"/>
    <m/>
    <m/>
    <x v="1"/>
    <m/>
    <m/>
    <m/>
    <m/>
    <n v="34038"/>
    <x v="8"/>
  </r>
  <r>
    <n v="7279"/>
    <x v="1"/>
    <x v="1"/>
    <x v="48"/>
    <n v="106649"/>
    <s v="Liso"/>
    <m/>
    <m/>
    <x v="2"/>
    <m/>
    <m/>
    <m/>
    <s v="Sucata"/>
    <n v="106649"/>
    <x v="8"/>
  </r>
  <r>
    <n v="7280"/>
    <x v="1"/>
    <x v="1"/>
    <x v="48"/>
    <n v="23978"/>
    <s v="s/ dados"/>
    <m/>
    <m/>
    <x v="1"/>
    <m/>
    <m/>
    <m/>
    <m/>
    <n v="23978"/>
    <x v="8"/>
  </r>
  <r>
    <n v="7281"/>
    <x v="1"/>
    <x v="1"/>
    <x v="48"/>
    <n v="5765"/>
    <s v="Furado"/>
    <m/>
    <m/>
    <x v="1"/>
    <m/>
    <m/>
    <m/>
    <s v="Sucata"/>
    <n v="5765"/>
    <x v="8"/>
  </r>
  <r>
    <n v="7282"/>
    <x v="1"/>
    <x v="1"/>
    <x v="48"/>
    <n v="98201"/>
    <s v="Liso"/>
    <n v="51441"/>
    <s v="DVR-M"/>
    <x v="1"/>
    <m/>
    <m/>
    <m/>
    <s v="Estoque"/>
    <n v="149642"/>
    <x v="8"/>
  </r>
  <r>
    <n v="7289"/>
    <x v="2"/>
    <x v="3"/>
    <x v="49"/>
    <n v="84283"/>
    <s v="Liso"/>
    <n v="104820"/>
    <s v="X-Incity"/>
    <x v="0"/>
    <m/>
    <s v="DVR-M"/>
    <m/>
    <n v="19056"/>
    <n v="189103"/>
    <x v="9"/>
  </r>
  <r>
    <n v="7290"/>
    <x v="2"/>
    <x v="3"/>
    <x v="49"/>
    <n v="80224"/>
    <s v="Liso"/>
    <m/>
    <m/>
    <x v="2"/>
    <m/>
    <m/>
    <m/>
    <s v="Sucata"/>
    <n v="80224"/>
    <x v="9"/>
  </r>
  <r>
    <n v="7291"/>
    <x v="2"/>
    <x v="3"/>
    <x v="49"/>
    <n v="40328"/>
    <s v="s/ dados"/>
    <m/>
    <m/>
    <x v="1"/>
    <m/>
    <m/>
    <m/>
    <m/>
    <n v="40328"/>
    <x v="9"/>
  </r>
  <r>
    <n v="7292"/>
    <x v="2"/>
    <x v="3"/>
    <x v="49"/>
    <n v="40328"/>
    <s v="s/ dados"/>
    <m/>
    <m/>
    <x v="1"/>
    <m/>
    <m/>
    <m/>
    <m/>
    <n v="40328"/>
    <x v="9"/>
  </r>
  <r>
    <n v="7303"/>
    <x v="2"/>
    <x v="3"/>
    <x v="47"/>
    <n v="73128"/>
    <s v="Liso"/>
    <n v="108852"/>
    <s v="X-Incity"/>
    <x v="0"/>
    <m/>
    <m/>
    <m/>
    <s v="Sucata"/>
    <n v="181980"/>
    <x v="9"/>
  </r>
  <r>
    <n v="7304"/>
    <x v="2"/>
    <x v="3"/>
    <x v="47"/>
    <n v="73128"/>
    <s v="Liso"/>
    <n v="120966"/>
    <s v="X-Incity"/>
    <x v="0"/>
    <m/>
    <m/>
    <m/>
    <n v="19054"/>
    <n v="194094"/>
    <x v="9"/>
  </r>
  <r>
    <n v="7305"/>
    <x v="2"/>
    <x v="3"/>
    <x v="47"/>
    <n v="74139"/>
    <s v="Liso"/>
    <n v="132491"/>
    <s v="X-Incity"/>
    <x v="0"/>
    <m/>
    <m/>
    <m/>
    <s v="Sucata"/>
    <n v="206630"/>
    <x v="9"/>
  </r>
  <r>
    <n v="7306"/>
    <x v="2"/>
    <x v="3"/>
    <x v="47"/>
    <n v="77279"/>
    <s v="s/ dados"/>
    <m/>
    <m/>
    <x v="1"/>
    <m/>
    <m/>
    <m/>
    <m/>
    <n v="77279"/>
    <x v="9"/>
  </r>
  <r>
    <n v="7307"/>
    <x v="2"/>
    <x v="3"/>
    <x v="47"/>
    <n v="27954"/>
    <s v="s/ dados"/>
    <m/>
    <m/>
    <x v="1"/>
    <m/>
    <m/>
    <m/>
    <m/>
    <n v="27954"/>
    <x v="9"/>
  </r>
  <r>
    <n v="7308"/>
    <x v="2"/>
    <x v="3"/>
    <x v="47"/>
    <n v="27954"/>
    <s v="s/ dados"/>
    <m/>
    <m/>
    <x v="1"/>
    <m/>
    <m/>
    <m/>
    <m/>
    <n v="27954"/>
    <x v="9"/>
  </r>
  <r>
    <n v="7309"/>
    <x v="2"/>
    <x v="3"/>
    <x v="50"/>
    <n v="78236"/>
    <s v="Liso"/>
    <m/>
    <s v="X-Incity"/>
    <x v="4"/>
    <m/>
    <m/>
    <m/>
    <n v="9004"/>
    <n v="78236"/>
    <x v="9"/>
  </r>
  <r>
    <n v="7310"/>
    <x v="2"/>
    <x v="3"/>
    <x v="47"/>
    <n v="75096"/>
    <s v="Furado"/>
    <n v="102178"/>
    <s v="X-Incity"/>
    <x v="3"/>
    <m/>
    <m/>
    <m/>
    <s v="Conserto"/>
    <n v="177274"/>
    <x v="9"/>
  </r>
  <r>
    <n v="7339"/>
    <x v="2"/>
    <x v="3"/>
    <x v="51"/>
    <n v="91414"/>
    <s v="Liso"/>
    <n v="123657"/>
    <s v="X-Incity"/>
    <x v="0"/>
    <m/>
    <s v="X-Incity"/>
    <m/>
    <s v="Estoque"/>
    <n v="215071"/>
    <x v="9"/>
  </r>
  <r>
    <n v="7340"/>
    <x v="2"/>
    <x v="3"/>
    <x v="51"/>
    <n v="91414"/>
    <s v="Liso"/>
    <n v="70361"/>
    <s v="X-Incity"/>
    <x v="3"/>
    <m/>
    <m/>
    <m/>
    <s v="Sucata"/>
    <n v="161775"/>
    <x v="9"/>
  </r>
  <r>
    <n v="7341"/>
    <x v="2"/>
    <x v="3"/>
    <x v="51"/>
    <n v="14645"/>
    <s v="s/ dados"/>
    <m/>
    <m/>
    <x v="1"/>
    <m/>
    <m/>
    <m/>
    <m/>
    <n v="14645"/>
    <x v="9"/>
  </r>
  <r>
    <n v="7342"/>
    <x v="2"/>
    <x v="3"/>
    <x v="51"/>
    <n v="14645"/>
    <s v="s/ dados"/>
    <m/>
    <m/>
    <x v="1"/>
    <m/>
    <m/>
    <m/>
    <m/>
    <n v="14645"/>
    <x v="9"/>
  </r>
  <r>
    <n v="7343"/>
    <x v="2"/>
    <x v="3"/>
    <x v="51"/>
    <n v="103272"/>
    <s v="Liso"/>
    <n v="114068"/>
    <s v="X-Incity"/>
    <x v="0"/>
    <m/>
    <s v="DVR-M"/>
    <m/>
    <n v="19056"/>
    <n v="217340"/>
    <x v="9"/>
  </r>
  <r>
    <n v="7344"/>
    <x v="2"/>
    <x v="3"/>
    <x v="51"/>
    <n v="116419"/>
    <s v="Liso"/>
    <m/>
    <m/>
    <x v="1"/>
    <m/>
    <m/>
    <m/>
    <n v="19060"/>
    <n v="116419"/>
    <x v="9"/>
  </r>
  <r>
    <n v="7345"/>
    <x v="2"/>
    <x v="3"/>
    <x v="51"/>
    <n v="17644"/>
    <s v="s/ dados"/>
    <m/>
    <m/>
    <x v="1"/>
    <m/>
    <m/>
    <m/>
    <m/>
    <n v="17644"/>
    <x v="9"/>
  </r>
  <r>
    <n v="7346"/>
    <x v="2"/>
    <x v="3"/>
    <x v="51"/>
    <n v="17644"/>
    <s v="s/ dados"/>
    <m/>
    <m/>
    <x v="1"/>
    <m/>
    <m/>
    <m/>
    <m/>
    <n v="17644"/>
    <x v="9"/>
  </r>
  <r>
    <n v="7389"/>
    <x v="2"/>
    <x v="3"/>
    <x v="52"/>
    <n v="5904"/>
    <s v="s/ dados"/>
    <m/>
    <m/>
    <x v="1"/>
    <m/>
    <m/>
    <m/>
    <m/>
    <n v="5904"/>
    <x v="9"/>
  </r>
  <r>
    <n v="7390"/>
    <x v="2"/>
    <x v="3"/>
    <x v="52"/>
    <n v="5904"/>
    <s v="s/ dados"/>
    <m/>
    <m/>
    <x v="1"/>
    <m/>
    <m/>
    <m/>
    <m/>
    <n v="5904"/>
    <x v="9"/>
  </r>
  <r>
    <n v="7391"/>
    <x v="2"/>
    <x v="3"/>
    <x v="52"/>
    <n v="14098"/>
    <s v="s/ dados"/>
    <m/>
    <m/>
    <x v="1"/>
    <m/>
    <m/>
    <m/>
    <m/>
    <n v="14098"/>
    <x v="9"/>
  </r>
  <r>
    <n v="7392"/>
    <x v="2"/>
    <x v="3"/>
    <x v="52"/>
    <n v="14098"/>
    <s v="s/ dados"/>
    <m/>
    <m/>
    <x v="1"/>
    <m/>
    <m/>
    <m/>
    <m/>
    <n v="14098"/>
    <x v="9"/>
  </r>
  <r>
    <n v="7393"/>
    <x v="2"/>
    <x v="3"/>
    <x v="52"/>
    <n v="82001"/>
    <s v="Liso"/>
    <m/>
    <s v="X-Incity"/>
    <x v="4"/>
    <m/>
    <m/>
    <m/>
    <n v="9004"/>
    <n v="82001"/>
    <x v="10"/>
  </r>
  <r>
    <n v="7394"/>
    <x v="2"/>
    <x v="3"/>
    <x v="52"/>
    <n v="82001"/>
    <s v="Liso"/>
    <m/>
    <s v="X-Incity"/>
    <x v="1"/>
    <m/>
    <m/>
    <m/>
    <n v="8005"/>
    <n v="82001"/>
    <x v="10"/>
  </r>
  <r>
    <n v="7395"/>
    <x v="2"/>
    <x v="3"/>
    <x v="53"/>
    <n v="83619"/>
    <s v="Liso"/>
    <m/>
    <s v="X-Incity"/>
    <x v="1"/>
    <m/>
    <m/>
    <m/>
    <n v="8005"/>
    <n v="83619"/>
    <x v="10"/>
  </r>
  <r>
    <n v="7396"/>
    <x v="2"/>
    <x v="3"/>
    <x v="53"/>
    <n v="91767"/>
    <s v="Furado"/>
    <m/>
    <s v="X-Incity"/>
    <x v="1"/>
    <m/>
    <m/>
    <m/>
    <n v="19054"/>
    <n v="91767"/>
    <x v="10"/>
  </r>
  <r>
    <n v="7397"/>
    <x v="2"/>
    <x v="3"/>
    <x v="53"/>
    <n v="89348"/>
    <s v="Liso"/>
    <m/>
    <s v="DVR-M"/>
    <x v="1"/>
    <m/>
    <m/>
    <m/>
    <n v="19052"/>
    <n v="89348"/>
    <x v="10"/>
  </r>
  <r>
    <n v="7398"/>
    <x v="2"/>
    <x v="3"/>
    <x v="53"/>
    <n v="89229"/>
    <s v="Liso"/>
    <m/>
    <s v="X-Incity"/>
    <x v="1"/>
    <m/>
    <m/>
    <m/>
    <n v="19054"/>
    <n v="89229"/>
    <x v="10"/>
  </r>
  <r>
    <n v="7399"/>
    <x v="2"/>
    <x v="3"/>
    <x v="52"/>
    <n v="19344"/>
    <s v="s/ dados"/>
    <m/>
    <m/>
    <x v="1"/>
    <m/>
    <m/>
    <m/>
    <m/>
    <n v="19344"/>
    <x v="10"/>
  </r>
  <r>
    <n v="7400"/>
    <x v="2"/>
    <x v="3"/>
    <x v="52"/>
    <n v="19344"/>
    <s v="s/ dados"/>
    <m/>
    <m/>
    <x v="1"/>
    <m/>
    <m/>
    <m/>
    <m/>
    <n v="19344"/>
    <x v="10"/>
  </r>
  <r>
    <n v="7431"/>
    <x v="2"/>
    <x v="3"/>
    <x v="54"/>
    <n v="23264"/>
    <s v="s/ dados"/>
    <m/>
    <m/>
    <x v="1"/>
    <m/>
    <m/>
    <m/>
    <m/>
    <n v="23264"/>
    <x v="10"/>
  </r>
  <r>
    <n v="7432"/>
    <x v="2"/>
    <x v="3"/>
    <x v="54"/>
    <n v="23264"/>
    <s v="s/ dados"/>
    <m/>
    <m/>
    <x v="1"/>
    <m/>
    <m/>
    <m/>
    <m/>
    <n v="23264"/>
    <x v="10"/>
  </r>
  <r>
    <n v="7433"/>
    <x v="2"/>
    <x v="3"/>
    <x v="55"/>
    <n v="113354"/>
    <s v="Liso"/>
    <m/>
    <s v="DVR-M"/>
    <x v="1"/>
    <m/>
    <m/>
    <m/>
    <n v="19060"/>
    <n v="113354"/>
    <x v="10"/>
  </r>
  <r>
    <n v="7434"/>
    <x v="2"/>
    <x v="3"/>
    <x v="55"/>
    <n v="113354"/>
    <s v="Liso"/>
    <m/>
    <s v="DVR-M"/>
    <x v="1"/>
    <m/>
    <m/>
    <m/>
    <n v="19060"/>
    <n v="113354"/>
    <x v="10"/>
  </r>
  <r>
    <n v="7435"/>
    <x v="2"/>
    <x v="3"/>
    <x v="54"/>
    <n v="103513"/>
    <s v="Liso"/>
    <m/>
    <s v="DVR-M"/>
    <x v="1"/>
    <m/>
    <m/>
    <m/>
    <n v="19060"/>
    <n v="103513"/>
    <x v="10"/>
  </r>
  <r>
    <n v="7436"/>
    <x v="2"/>
    <x v="3"/>
    <x v="54"/>
    <n v="92478"/>
    <s v="Liso"/>
    <m/>
    <s v="DVR-M"/>
    <x v="1"/>
    <m/>
    <m/>
    <m/>
    <n v="19052"/>
    <n v="92478"/>
    <x v="10"/>
  </r>
  <r>
    <n v="7453"/>
    <x v="3"/>
    <x v="4"/>
    <x v="56"/>
    <n v="75819"/>
    <s v="Liso"/>
    <n v="46269"/>
    <s v="DVR-M"/>
    <x v="3"/>
    <m/>
    <m/>
    <m/>
    <s v="Sucata"/>
    <n v="122088"/>
    <x v="10"/>
  </r>
  <r>
    <n v="7454"/>
    <x v="3"/>
    <x v="4"/>
    <x v="57"/>
    <n v="41688"/>
    <s v="Furado"/>
    <n v="106603"/>
    <s v="DVR-M"/>
    <x v="0"/>
    <m/>
    <m/>
    <m/>
    <s v="Estoque"/>
    <n v="148291"/>
    <x v="10"/>
  </r>
  <r>
    <n v="7455"/>
    <x v="3"/>
    <x v="4"/>
    <x v="58"/>
    <n v="91464"/>
    <s v="Liso"/>
    <n v="79507"/>
    <s v="DVR-M"/>
    <x v="0"/>
    <m/>
    <m/>
    <m/>
    <m/>
    <n v="170971"/>
    <x v="10"/>
  </r>
  <r>
    <n v="7456"/>
    <x v="3"/>
    <x v="4"/>
    <x v="56"/>
    <n v="91464"/>
    <s v="Liso"/>
    <n v="75504"/>
    <s v="DVR-M"/>
    <x v="0"/>
    <m/>
    <m/>
    <m/>
    <m/>
    <n v="166968"/>
    <x v="10"/>
  </r>
  <r>
    <n v="7457"/>
    <x v="3"/>
    <x v="4"/>
    <x v="56"/>
    <n v="91464"/>
    <s v="Liso"/>
    <n v="90147"/>
    <s v="DVR-M"/>
    <x v="0"/>
    <m/>
    <m/>
    <m/>
    <m/>
    <n v="181611"/>
    <x v="10"/>
  </r>
  <r>
    <n v="7458"/>
    <x v="3"/>
    <x v="4"/>
    <x v="56"/>
    <n v="91464"/>
    <s v="Liso"/>
    <n v="79507"/>
    <s v="DVR-M"/>
    <x v="0"/>
    <m/>
    <m/>
    <m/>
    <m/>
    <n v="170971"/>
    <x v="10"/>
  </r>
  <r>
    <n v="7459"/>
    <x v="2"/>
    <x v="3"/>
    <x v="59"/>
    <n v="89435"/>
    <s v="Liso"/>
    <m/>
    <s v="X-Incity"/>
    <x v="1"/>
    <m/>
    <m/>
    <m/>
    <n v="19057"/>
    <n v="89435"/>
    <x v="10"/>
  </r>
  <r>
    <n v="7460"/>
    <x v="2"/>
    <x v="3"/>
    <x v="59"/>
    <n v="96890"/>
    <s v="Liso"/>
    <m/>
    <s v="X-Incity"/>
    <x v="1"/>
    <m/>
    <m/>
    <m/>
    <n v="19054"/>
    <n v="96890"/>
    <x v="10"/>
  </r>
  <r>
    <n v="7461"/>
    <x v="2"/>
    <x v="3"/>
    <x v="60"/>
    <n v="98225"/>
    <s v="Liso"/>
    <n v="96797"/>
    <s v="X-Incity"/>
    <x v="3"/>
    <m/>
    <m/>
    <m/>
    <s v="Sucata"/>
    <n v="195022"/>
    <x v="10"/>
  </r>
  <r>
    <n v="7462"/>
    <x v="2"/>
    <x v="3"/>
    <x v="59"/>
    <n v="85010"/>
    <s v="Liso"/>
    <m/>
    <s v="X-Incity"/>
    <x v="1"/>
    <m/>
    <m/>
    <m/>
    <n v="19058"/>
    <n v="85010"/>
    <x v="10"/>
  </r>
  <r>
    <n v="7463"/>
    <x v="2"/>
    <x v="3"/>
    <x v="59"/>
    <n v="98225"/>
    <s v="Liso"/>
    <m/>
    <s v="X-Incity"/>
    <x v="1"/>
    <m/>
    <m/>
    <m/>
    <n v="19057"/>
    <n v="98225"/>
    <x v="10"/>
  </r>
  <r>
    <n v="7464"/>
    <x v="2"/>
    <x v="3"/>
    <x v="59"/>
    <n v="88406"/>
    <s v="Liso"/>
    <n v="83446"/>
    <s v="DVR-M"/>
    <x v="0"/>
    <n v="32906"/>
    <s v="VL-110L"/>
    <s v="Infiltração"/>
    <s v="Sucata"/>
    <n v="204758"/>
    <x v="10"/>
  </r>
  <r>
    <n v="7465"/>
    <x v="0"/>
    <x v="5"/>
    <x v="61"/>
    <n v="112510"/>
    <s v="Liso"/>
    <m/>
    <s v="DVR-M"/>
    <x v="1"/>
    <m/>
    <m/>
    <m/>
    <n v="19052"/>
    <n v="112510"/>
    <x v="10"/>
  </r>
  <r>
    <n v="7466"/>
    <x v="0"/>
    <x v="5"/>
    <x v="62"/>
    <n v="91905"/>
    <s v="Desg. Irregular"/>
    <n v="60511"/>
    <s v="DVR-M"/>
    <x v="2"/>
    <m/>
    <m/>
    <m/>
    <s v="Sucata"/>
    <n v="152416"/>
    <x v="10"/>
  </r>
  <r>
    <n v="7467"/>
    <x v="0"/>
    <x v="5"/>
    <x v="61"/>
    <n v="96162"/>
    <s v="Liso"/>
    <n v="67610"/>
    <s v="DVR-M"/>
    <x v="0"/>
    <n v="36583"/>
    <s v="VL-110L"/>
    <s v="Corte lateral"/>
    <s v="Sucata"/>
    <n v="200355"/>
    <x v="10"/>
  </r>
  <r>
    <n v="7468"/>
    <x v="0"/>
    <x v="5"/>
    <x v="61"/>
    <n v="96162"/>
    <s v="Liso"/>
    <n v="44106"/>
    <s v="DVR-M"/>
    <x v="2"/>
    <m/>
    <m/>
    <m/>
    <s v="Sucata"/>
    <n v="140268"/>
    <x v="10"/>
  </r>
  <r>
    <n v="7469"/>
    <x v="0"/>
    <x v="5"/>
    <x v="61"/>
    <n v="96162"/>
    <s v="Liso"/>
    <n v="67722"/>
    <s v="DVR-M"/>
    <x v="0"/>
    <m/>
    <m/>
    <m/>
    <m/>
    <n v="163884"/>
    <x v="10"/>
  </r>
  <r>
    <n v="7470"/>
    <x v="0"/>
    <x v="5"/>
    <x v="60"/>
    <n v="96162"/>
    <s v="Liso"/>
    <m/>
    <m/>
    <x v="1"/>
    <m/>
    <m/>
    <m/>
    <s v="Sucata"/>
    <n v="96162"/>
    <x v="10"/>
  </r>
  <r>
    <n v="7471"/>
    <x v="2"/>
    <x v="3"/>
    <x v="59"/>
    <n v="93978"/>
    <s v="Liso"/>
    <m/>
    <m/>
    <x v="4"/>
    <m/>
    <m/>
    <m/>
    <n v="103"/>
    <n v="93978"/>
    <x v="10"/>
  </r>
  <r>
    <n v="7472"/>
    <x v="2"/>
    <x v="3"/>
    <x v="59"/>
    <n v="93510"/>
    <s v="Liso"/>
    <n v="63816"/>
    <s v="X-Incity"/>
    <x v="1"/>
    <m/>
    <m/>
    <m/>
    <s v="Estoque"/>
    <n v="157326"/>
    <x v="10"/>
  </r>
  <r>
    <n v="7473"/>
    <x v="2"/>
    <x v="3"/>
    <x v="59"/>
    <n v="96747"/>
    <s v="Liso"/>
    <m/>
    <s v="DVR-M"/>
    <x v="1"/>
    <m/>
    <m/>
    <m/>
    <n v="19056"/>
    <n v="96747"/>
    <x v="10"/>
  </r>
  <r>
    <n v="7474"/>
    <x v="2"/>
    <x v="3"/>
    <x v="59"/>
    <n v="79693"/>
    <s v="Liso"/>
    <n v="83758"/>
    <s v="DVR-M"/>
    <x v="0"/>
    <m/>
    <s v="VL-110L"/>
    <s v="Infiltração"/>
    <s v="Sucata"/>
    <n v="163451"/>
    <x v="10"/>
  </r>
  <r>
    <n v="7475"/>
    <x v="2"/>
    <x v="3"/>
    <x v="59"/>
    <n v="41081"/>
    <s v="s/ dados"/>
    <m/>
    <m/>
    <x v="1"/>
    <m/>
    <m/>
    <m/>
    <m/>
    <n v="41081"/>
    <x v="10"/>
  </r>
  <r>
    <n v="7476"/>
    <x v="2"/>
    <x v="3"/>
    <x v="59"/>
    <n v="41081"/>
    <s v="s/ dados"/>
    <m/>
    <m/>
    <x v="1"/>
    <m/>
    <m/>
    <m/>
    <m/>
    <n v="41081"/>
    <x v="10"/>
  </r>
  <r>
    <n v="7477"/>
    <x v="2"/>
    <x v="3"/>
    <x v="63"/>
    <n v="95114"/>
    <s v="Liso"/>
    <n v="84512"/>
    <s v="X-Incity"/>
    <x v="2"/>
    <m/>
    <m/>
    <m/>
    <s v="Sucata"/>
    <n v="179626"/>
    <x v="10"/>
  </r>
  <r>
    <n v="7478"/>
    <x v="2"/>
    <x v="3"/>
    <x v="60"/>
    <n v="95214"/>
    <s v="Liso"/>
    <n v="108108"/>
    <s v="X-Incity"/>
    <x v="0"/>
    <m/>
    <m/>
    <m/>
    <s v="Sucata"/>
    <n v="203322"/>
    <x v="10"/>
  </r>
  <r>
    <n v="7479"/>
    <x v="2"/>
    <x v="3"/>
    <x v="60"/>
    <n v="98277"/>
    <s v="Liso"/>
    <n v="18802"/>
    <s v="X-Incity"/>
    <x v="2"/>
    <m/>
    <m/>
    <m/>
    <s v="Sucata"/>
    <n v="117079"/>
    <x v="10"/>
  </r>
  <r>
    <n v="7480"/>
    <x v="2"/>
    <x v="3"/>
    <x v="60"/>
    <n v="95673"/>
    <s v="Liso"/>
    <m/>
    <s v="DVR-M"/>
    <x v="1"/>
    <m/>
    <m/>
    <m/>
    <n v="8008"/>
    <n v="95673"/>
    <x v="10"/>
  </r>
  <r>
    <n v="7481"/>
    <x v="2"/>
    <x v="3"/>
    <x v="60"/>
    <n v="98277"/>
    <s v="Liso"/>
    <n v="123657"/>
    <s v="X-Incity"/>
    <x v="0"/>
    <m/>
    <s v="X-Incity"/>
    <m/>
    <s v="Estoque"/>
    <n v="221934"/>
    <x v="10"/>
  </r>
  <r>
    <n v="7482"/>
    <x v="2"/>
    <x v="3"/>
    <x v="63"/>
    <n v="98277"/>
    <s v="Liso"/>
    <n v="120799"/>
    <s v="X-Incity"/>
    <x v="0"/>
    <m/>
    <m/>
    <m/>
    <s v="Estoque"/>
    <n v="219076"/>
    <x v="10"/>
  </r>
  <r>
    <n v="7483"/>
    <x v="2"/>
    <x v="3"/>
    <x v="59"/>
    <n v="110057"/>
    <s v="Liso"/>
    <m/>
    <m/>
    <x v="4"/>
    <m/>
    <m/>
    <m/>
    <n v="9004"/>
    <n v="110057"/>
    <x v="10"/>
  </r>
  <r>
    <n v="7484"/>
    <x v="2"/>
    <x v="3"/>
    <x v="59"/>
    <n v="13224"/>
    <s v="s/ dados"/>
    <n v="19929"/>
    <s v="X-Incity"/>
    <x v="1"/>
    <m/>
    <m/>
    <m/>
    <m/>
    <n v="33153"/>
    <x v="10"/>
  </r>
  <r>
    <n v="7485"/>
    <x v="2"/>
    <x v="3"/>
    <x v="59"/>
    <n v="109605"/>
    <s v="Liso"/>
    <m/>
    <s v="X-Incity"/>
    <x v="4"/>
    <m/>
    <m/>
    <m/>
    <n v="9004"/>
    <n v="109605"/>
    <x v="10"/>
  </r>
  <r>
    <n v="7486"/>
    <x v="2"/>
    <x v="3"/>
    <x v="59"/>
    <n v="99035"/>
    <s v="Liso"/>
    <m/>
    <s v="X-Incity"/>
    <x v="1"/>
    <m/>
    <m/>
    <m/>
    <n v="19057"/>
    <n v="99035"/>
    <x v="10"/>
  </r>
  <r>
    <n v="7487"/>
    <x v="2"/>
    <x v="3"/>
    <x v="59"/>
    <n v="99035"/>
    <s v="Liso"/>
    <m/>
    <m/>
    <x v="2"/>
    <m/>
    <m/>
    <m/>
    <s v="Sucata"/>
    <n v="99035"/>
    <x v="10"/>
  </r>
  <r>
    <n v="7488"/>
    <x v="2"/>
    <x v="3"/>
    <x v="59"/>
    <n v="99035"/>
    <s v="Liso"/>
    <n v="97512"/>
    <s v="X-Incity"/>
    <x v="6"/>
    <m/>
    <m/>
    <m/>
    <s v="Estoque"/>
    <n v="196547"/>
    <x v="10"/>
  </r>
  <r>
    <n v="7489"/>
    <x v="2"/>
    <x v="3"/>
    <x v="59"/>
    <n v="21595"/>
    <s v="s/ dados"/>
    <n v="32467"/>
    <s v="X-Incity"/>
    <x v="1"/>
    <m/>
    <m/>
    <m/>
    <m/>
    <n v="54062"/>
    <x v="10"/>
  </r>
  <r>
    <n v="7490"/>
    <x v="2"/>
    <x v="3"/>
    <x v="59"/>
    <n v="26649"/>
    <s v="s/ dados"/>
    <n v="19275"/>
    <s v="X-Incity"/>
    <x v="1"/>
    <m/>
    <m/>
    <m/>
    <m/>
    <n v="45924"/>
    <x v="10"/>
  </r>
  <r>
    <n v="7491"/>
    <x v="2"/>
    <x v="3"/>
    <x v="59"/>
    <n v="104079"/>
    <s v="Liso"/>
    <m/>
    <s v="X-Incity"/>
    <x v="1"/>
    <m/>
    <m/>
    <m/>
    <n v="8002"/>
    <n v="104079"/>
    <x v="10"/>
  </r>
  <r>
    <n v="7492"/>
    <x v="2"/>
    <x v="3"/>
    <x v="59"/>
    <n v="95515"/>
    <s v="Liso"/>
    <m/>
    <s v="X-Incity"/>
    <x v="1"/>
    <m/>
    <m/>
    <m/>
    <n v="8002"/>
    <n v="95515"/>
    <x v="10"/>
  </r>
  <r>
    <n v="7493"/>
    <x v="2"/>
    <x v="3"/>
    <x v="59"/>
    <n v="37475"/>
    <s v="s/ dados"/>
    <m/>
    <m/>
    <x v="1"/>
    <m/>
    <m/>
    <m/>
    <m/>
    <n v="37475"/>
    <x v="10"/>
  </r>
  <r>
    <n v="7494"/>
    <x v="2"/>
    <x v="3"/>
    <x v="59"/>
    <n v="37475"/>
    <s v="s/ dados"/>
    <m/>
    <m/>
    <x v="1"/>
    <m/>
    <m/>
    <m/>
    <m/>
    <n v="37475"/>
    <x v="10"/>
  </r>
  <r>
    <n v="7495"/>
    <x v="2"/>
    <x v="3"/>
    <x v="59"/>
    <n v="99602"/>
    <s v="Liso"/>
    <n v="71606"/>
    <s v="X-Incity"/>
    <x v="3"/>
    <m/>
    <m/>
    <m/>
    <s v="Sucata"/>
    <n v="171208"/>
    <x v="10"/>
  </r>
  <r>
    <n v="7496"/>
    <x v="2"/>
    <x v="3"/>
    <x v="59"/>
    <n v="111506"/>
    <s v="Liso"/>
    <m/>
    <s v="X-Incity"/>
    <x v="1"/>
    <m/>
    <m/>
    <m/>
    <n v="8002"/>
    <n v="111506"/>
    <x v="10"/>
  </r>
  <r>
    <n v="7497"/>
    <x v="2"/>
    <x v="3"/>
    <x v="59"/>
    <n v="76347"/>
    <s v="Liso"/>
    <n v="123294"/>
    <s v="X-Incity"/>
    <x v="0"/>
    <n v="10419"/>
    <s v="DVR-M"/>
    <s v="Corte lateral"/>
    <s v="Sucata"/>
    <n v="210060"/>
    <x v="10"/>
  </r>
  <r>
    <n v="7498"/>
    <x v="2"/>
    <x v="3"/>
    <x v="59"/>
    <n v="119645"/>
    <s v="Liso"/>
    <n v="98331"/>
    <s v="X-Incity"/>
    <x v="2"/>
    <m/>
    <m/>
    <m/>
    <s v="Sucata"/>
    <n v="217976"/>
    <x v="10"/>
  </r>
  <r>
    <n v="7499"/>
    <x v="2"/>
    <x v="3"/>
    <x v="59"/>
    <n v="115892"/>
    <s v="Liso"/>
    <m/>
    <s v="X-Incity"/>
    <x v="1"/>
    <m/>
    <m/>
    <m/>
    <n v="19055"/>
    <n v="115892"/>
    <x v="10"/>
  </r>
  <r>
    <n v="7500"/>
    <x v="2"/>
    <x v="3"/>
    <x v="59"/>
    <n v="98081"/>
    <s v="Liso"/>
    <n v="87911"/>
    <s v="X-Incity"/>
    <x v="3"/>
    <m/>
    <m/>
    <m/>
    <s v="Conserto"/>
    <n v="185992"/>
    <x v="10"/>
  </r>
  <r>
    <n v="7501"/>
    <x v="2"/>
    <x v="3"/>
    <x v="59"/>
    <n v="59816"/>
    <s v="s/ dados"/>
    <m/>
    <m/>
    <x v="1"/>
    <m/>
    <m/>
    <m/>
    <m/>
    <n v="59816"/>
    <x v="10"/>
  </r>
  <r>
    <n v="7502"/>
    <x v="2"/>
    <x v="3"/>
    <x v="59"/>
    <n v="59816"/>
    <s v="s/ dados"/>
    <m/>
    <m/>
    <x v="1"/>
    <m/>
    <m/>
    <m/>
    <m/>
    <n v="59816"/>
    <x v="10"/>
  </r>
  <r>
    <n v="7503"/>
    <x v="2"/>
    <x v="3"/>
    <x v="59"/>
    <n v="103837"/>
    <s v="Liso"/>
    <m/>
    <s v="DVR-M"/>
    <x v="1"/>
    <m/>
    <m/>
    <m/>
    <n v="8008"/>
    <n v="103837"/>
    <x v="10"/>
  </r>
  <r>
    <n v="7504"/>
    <x v="2"/>
    <x v="3"/>
    <x v="59"/>
    <n v="98750"/>
    <s v="Liso"/>
    <m/>
    <s v="DVR-M"/>
    <x v="1"/>
    <m/>
    <m/>
    <m/>
    <n v="8008"/>
    <n v="98750"/>
    <x v="10"/>
  </r>
  <r>
    <n v="7505"/>
    <x v="2"/>
    <x v="3"/>
    <x v="59"/>
    <n v="92472"/>
    <s v="Liso"/>
    <m/>
    <s v="X-Incity"/>
    <x v="1"/>
    <m/>
    <m/>
    <m/>
    <n v="8005"/>
    <n v="92472"/>
    <x v="10"/>
  </r>
  <r>
    <n v="7506"/>
    <x v="2"/>
    <x v="3"/>
    <x v="59"/>
    <n v="100252"/>
    <s v="Liso"/>
    <m/>
    <s v="X-Incity"/>
    <x v="1"/>
    <m/>
    <m/>
    <m/>
    <n v="8005"/>
    <n v="100252"/>
    <x v="10"/>
  </r>
  <r>
    <n v="7507"/>
    <x v="0"/>
    <x v="5"/>
    <x v="63"/>
    <n v="93985"/>
    <s v="Liso"/>
    <m/>
    <s v="DVR-M"/>
    <x v="1"/>
    <m/>
    <m/>
    <m/>
    <n v="8006"/>
    <n v="93985"/>
    <x v="10"/>
  </r>
  <r>
    <n v="7508"/>
    <x v="0"/>
    <x v="5"/>
    <x v="63"/>
    <n v="93985"/>
    <s v="Liso"/>
    <m/>
    <s v="DVR-M"/>
    <x v="1"/>
    <m/>
    <m/>
    <m/>
    <n v="8006"/>
    <n v="93985"/>
    <x v="10"/>
  </r>
  <r>
    <n v="7509"/>
    <x v="0"/>
    <x v="5"/>
    <x v="63"/>
    <n v="108715"/>
    <s v="Liso"/>
    <n v="10529"/>
    <s v="DVR-M"/>
    <x v="3"/>
    <m/>
    <m/>
    <m/>
    <s v="Sucata"/>
    <n v="119244"/>
    <x v="10"/>
  </r>
  <r>
    <n v="7510"/>
    <x v="0"/>
    <x v="5"/>
    <x v="63"/>
    <n v="108715"/>
    <s v="Liso"/>
    <m/>
    <s v="DVR-M"/>
    <x v="1"/>
    <m/>
    <m/>
    <m/>
    <n v="8006"/>
    <n v="108715"/>
    <x v="10"/>
  </r>
  <r>
    <n v="7511"/>
    <x v="0"/>
    <x v="5"/>
    <x v="63"/>
    <n v="87953"/>
    <s v="Liso"/>
    <n v="73118"/>
    <s v="DVR-M"/>
    <x v="0"/>
    <m/>
    <s v="VL-110L"/>
    <m/>
    <n v="19053"/>
    <n v="161071"/>
    <x v="10"/>
  </r>
  <r>
    <n v="7512"/>
    <x v="0"/>
    <x v="5"/>
    <x v="63"/>
    <n v="87953"/>
    <s v="Liso"/>
    <n v="13588"/>
    <s v="DVR-M"/>
    <x v="2"/>
    <m/>
    <m/>
    <m/>
    <s v="Sucata"/>
    <n v="101541"/>
    <x v="10"/>
  </r>
  <r>
    <n v="7583"/>
    <x v="4"/>
    <x v="6"/>
    <x v="64"/>
    <n v="36368"/>
    <s v="Desg. Irregular"/>
    <n v="67453"/>
    <s v="DVR-M"/>
    <x v="0"/>
    <m/>
    <m/>
    <s v="Infiltração"/>
    <s v="Sucata"/>
    <n v="103821"/>
    <x v="8"/>
  </r>
  <r>
    <n v="7584"/>
    <x v="4"/>
    <x v="6"/>
    <x v="64"/>
    <n v="36368"/>
    <s v="Liso"/>
    <n v="22146"/>
    <s v="DVR-M"/>
    <x v="2"/>
    <m/>
    <m/>
    <m/>
    <s v="Sucata"/>
    <n v="58514"/>
    <x v="8"/>
  </r>
  <r>
    <n v="7585"/>
    <x v="4"/>
    <x v="6"/>
    <x v="65"/>
    <n v="31578"/>
    <s v="Liso"/>
    <m/>
    <s v="DVR-M"/>
    <x v="1"/>
    <m/>
    <m/>
    <m/>
    <n v="8004"/>
    <n v="31578"/>
    <x v="8"/>
  </r>
  <r>
    <n v="7586"/>
    <x v="4"/>
    <x v="6"/>
    <x v="65"/>
    <n v="32989"/>
    <s v="Liso"/>
    <m/>
    <s v="DVR-M"/>
    <x v="1"/>
    <m/>
    <m/>
    <m/>
    <n v="8004"/>
    <n v="32989"/>
    <x v="8"/>
  </r>
  <r>
    <n v="7587"/>
    <x v="4"/>
    <x v="6"/>
    <x v="65"/>
    <n v="35612"/>
    <s v="Liso"/>
    <m/>
    <s v="DVR-M"/>
    <x v="1"/>
    <m/>
    <m/>
    <m/>
    <n v="8004"/>
    <n v="35612"/>
    <x v="8"/>
  </r>
  <r>
    <n v="7588"/>
    <x v="4"/>
    <x v="6"/>
    <x v="65"/>
    <n v="41152"/>
    <s v="Liso"/>
    <m/>
    <s v="DVR-M"/>
    <x v="1"/>
    <m/>
    <m/>
    <m/>
    <n v="8004"/>
    <n v="41152"/>
    <x v="8"/>
  </r>
  <r>
    <n v="7589"/>
    <x v="4"/>
    <x v="6"/>
    <x v="65"/>
    <n v="29838"/>
    <s v="Infiltração"/>
    <m/>
    <m/>
    <x v="1"/>
    <m/>
    <m/>
    <m/>
    <s v="Sucata"/>
    <n v="29838"/>
    <x v="8"/>
  </r>
  <r>
    <n v="7590"/>
    <x v="4"/>
    <x v="6"/>
    <x v="64"/>
    <n v="53327"/>
    <s v="Liso"/>
    <n v="56076"/>
    <s v="DVR-M"/>
    <x v="3"/>
    <m/>
    <m/>
    <m/>
    <s v="Sucata"/>
    <n v="109403"/>
    <x v="8"/>
  </r>
  <r>
    <n v="7647"/>
    <x v="2"/>
    <x v="3"/>
    <x v="66"/>
    <n v="95649"/>
    <s v="Liso"/>
    <m/>
    <s v="X-Incity"/>
    <x v="1"/>
    <m/>
    <m/>
    <m/>
    <n v="19055"/>
    <n v="95649"/>
    <x v="10"/>
  </r>
  <r>
    <n v="7648"/>
    <x v="2"/>
    <x v="3"/>
    <x v="66"/>
    <n v="105255"/>
    <s v="Liso"/>
    <m/>
    <s v="X-Incity"/>
    <x v="1"/>
    <m/>
    <m/>
    <m/>
    <n v="19055"/>
    <n v="105255"/>
    <x v="10"/>
  </r>
  <r>
    <n v="7649"/>
    <x v="2"/>
    <x v="3"/>
    <x v="66"/>
    <n v="105267"/>
    <s v="Liso"/>
    <m/>
    <s v="DVR-M"/>
    <x v="1"/>
    <m/>
    <m/>
    <m/>
    <n v="8008"/>
    <n v="105267"/>
    <x v="10"/>
  </r>
  <r>
    <n v="7650"/>
    <x v="2"/>
    <x v="3"/>
    <x v="66"/>
    <n v="105267"/>
    <s v="Liso"/>
    <m/>
    <m/>
    <x v="2"/>
    <m/>
    <m/>
    <m/>
    <s v="Sucata"/>
    <n v="105267"/>
    <x v="10"/>
  </r>
  <r>
    <n v="7660"/>
    <x v="1"/>
    <x v="1"/>
    <x v="67"/>
    <n v="121463"/>
    <s v="Liso"/>
    <m/>
    <s v="DVR-M"/>
    <x v="1"/>
    <m/>
    <m/>
    <m/>
    <n v="19059"/>
    <n v="121463"/>
    <x v="10"/>
  </r>
  <r>
    <n v="7661"/>
    <x v="1"/>
    <x v="1"/>
    <x v="67"/>
    <n v="128044"/>
    <s v="Liso"/>
    <m/>
    <s v="DVR-M"/>
    <x v="1"/>
    <m/>
    <m/>
    <m/>
    <n v="19059"/>
    <n v="128044"/>
    <x v="10"/>
  </r>
  <r>
    <n v="7662"/>
    <x v="1"/>
    <x v="1"/>
    <x v="67"/>
    <n v="101344"/>
    <s v="Liso"/>
    <m/>
    <s v="DVR-M"/>
    <x v="1"/>
    <m/>
    <m/>
    <m/>
    <n v="19059"/>
    <n v="101344"/>
    <x v="10"/>
  </r>
  <r>
    <n v="7663"/>
    <x v="1"/>
    <x v="1"/>
    <x v="67"/>
    <n v="51603"/>
    <m/>
    <m/>
    <m/>
    <x v="1"/>
    <m/>
    <m/>
    <m/>
    <s v="Estoque MSO"/>
    <n v="51603"/>
    <x v="10"/>
  </r>
  <r>
    <n v="7682"/>
    <x v="1"/>
    <x v="1"/>
    <x v="68"/>
    <n v="102116"/>
    <s v="Furado"/>
    <m/>
    <m/>
    <x v="1"/>
    <m/>
    <m/>
    <m/>
    <s v="Sucata"/>
    <n v="102116"/>
    <x v="11"/>
  </r>
  <r>
    <n v="7683"/>
    <x v="1"/>
    <x v="1"/>
    <x v="68"/>
    <n v="118955"/>
    <s v="Liso"/>
    <m/>
    <s v="DVR-M"/>
    <x v="1"/>
    <m/>
    <m/>
    <m/>
    <n v="19059"/>
    <n v="118955"/>
    <x v="11"/>
  </r>
  <r>
    <n v="7684"/>
    <x v="1"/>
    <x v="1"/>
    <x v="68"/>
    <n v="116317"/>
    <s v="Liso"/>
    <m/>
    <s v="DV-UM"/>
    <x v="1"/>
    <m/>
    <m/>
    <m/>
    <n v="19051"/>
    <n v="116317"/>
    <x v="11"/>
  </r>
  <r>
    <n v="7685"/>
    <x v="1"/>
    <x v="1"/>
    <x v="68"/>
    <n v="116317"/>
    <s v="Liso"/>
    <m/>
    <s v="DV-UM"/>
    <x v="1"/>
    <m/>
    <m/>
    <m/>
    <n v="19051"/>
    <n v="116317"/>
    <x v="11"/>
  </r>
  <r>
    <n v="7686"/>
    <x v="1"/>
    <x v="1"/>
    <x v="68"/>
    <m/>
    <m/>
    <m/>
    <m/>
    <x v="1"/>
    <m/>
    <m/>
    <m/>
    <n v="8008"/>
    <n v="0"/>
    <x v="11"/>
  </r>
  <r>
    <n v="7687"/>
    <x v="1"/>
    <x v="1"/>
    <x v="68"/>
    <m/>
    <m/>
    <m/>
    <m/>
    <x v="1"/>
    <m/>
    <m/>
    <m/>
    <n v="8008"/>
    <n v="0"/>
    <x v="11"/>
  </r>
  <r>
    <n v="7695"/>
    <x v="1"/>
    <x v="1"/>
    <x v="69"/>
    <m/>
    <m/>
    <m/>
    <m/>
    <x v="1"/>
    <m/>
    <m/>
    <m/>
    <n v="8005"/>
    <n v="0"/>
    <x v="12"/>
  </r>
  <r>
    <n v="7696"/>
    <x v="1"/>
    <x v="1"/>
    <x v="70"/>
    <m/>
    <m/>
    <m/>
    <m/>
    <x v="1"/>
    <m/>
    <m/>
    <m/>
    <n v="8005"/>
    <n v="0"/>
    <x v="12"/>
  </r>
  <r>
    <n v="7697"/>
    <x v="1"/>
    <x v="1"/>
    <x v="70"/>
    <n v="102707"/>
    <s v="Liso"/>
    <m/>
    <s v="DV-UM"/>
    <x v="1"/>
    <m/>
    <m/>
    <m/>
    <n v="19051"/>
    <n v="102707"/>
    <x v="12"/>
  </r>
  <r>
    <n v="7698"/>
    <x v="1"/>
    <x v="1"/>
    <x v="71"/>
    <n v="84246"/>
    <s v="Furado"/>
    <m/>
    <m/>
    <x v="1"/>
    <m/>
    <m/>
    <m/>
    <s v="Sucata"/>
    <n v="84246"/>
    <x v="12"/>
  </r>
  <r>
    <n v="7699"/>
    <x v="1"/>
    <x v="1"/>
    <x v="71"/>
    <n v="99363"/>
    <s v="Furado"/>
    <m/>
    <s v="DV-UM"/>
    <x v="1"/>
    <m/>
    <m/>
    <m/>
    <n v="19051"/>
    <n v="99363"/>
    <x v="12"/>
  </r>
  <r>
    <n v="7700"/>
    <x v="1"/>
    <x v="1"/>
    <x v="69"/>
    <n v="109990"/>
    <s v="Liso"/>
    <m/>
    <m/>
    <x v="1"/>
    <m/>
    <m/>
    <m/>
    <s v="Estoque"/>
    <n v="109990"/>
    <x v="12"/>
  </r>
  <r>
    <n v="7711"/>
    <x v="1"/>
    <x v="1"/>
    <x v="72"/>
    <m/>
    <m/>
    <m/>
    <m/>
    <x v="1"/>
    <m/>
    <m/>
    <m/>
    <n v="8006"/>
    <n v="0"/>
    <x v="13"/>
  </r>
  <r>
    <n v="7712"/>
    <x v="1"/>
    <x v="1"/>
    <x v="72"/>
    <m/>
    <m/>
    <m/>
    <m/>
    <x v="1"/>
    <m/>
    <m/>
    <m/>
    <n v="8006"/>
    <n v="0"/>
    <x v="13"/>
  </r>
  <r>
    <n v="7713"/>
    <x v="1"/>
    <x v="1"/>
    <x v="73"/>
    <m/>
    <m/>
    <m/>
    <m/>
    <x v="1"/>
    <m/>
    <m/>
    <m/>
    <s v="Estoque"/>
    <n v="0"/>
    <x v="13"/>
  </r>
  <r>
    <n v="7714"/>
    <x v="1"/>
    <x v="1"/>
    <x v="72"/>
    <m/>
    <m/>
    <m/>
    <m/>
    <x v="1"/>
    <m/>
    <m/>
    <m/>
    <n v="19053"/>
    <n v="0"/>
    <x v="13"/>
  </r>
  <r>
    <n v="7717"/>
    <x v="2"/>
    <x v="3"/>
    <x v="74"/>
    <m/>
    <m/>
    <m/>
    <m/>
    <x v="1"/>
    <m/>
    <m/>
    <m/>
    <n v="19060"/>
    <n v="0"/>
    <x v="14"/>
  </r>
  <r>
    <n v="7718"/>
    <x v="2"/>
    <x v="3"/>
    <x v="74"/>
    <m/>
    <m/>
    <m/>
    <m/>
    <x v="1"/>
    <m/>
    <m/>
    <m/>
    <n v="19060"/>
    <n v="0"/>
    <x v="14"/>
  </r>
  <r>
    <n v="7719"/>
    <x v="2"/>
    <x v="3"/>
    <x v="74"/>
    <m/>
    <m/>
    <m/>
    <m/>
    <x v="1"/>
    <m/>
    <m/>
    <m/>
    <n v="19052"/>
    <n v="0"/>
    <x v="14"/>
  </r>
  <r>
    <n v="7720"/>
    <x v="2"/>
    <x v="3"/>
    <x v="74"/>
    <m/>
    <m/>
    <m/>
    <m/>
    <x v="1"/>
    <m/>
    <m/>
    <m/>
    <n v="19052"/>
    <n v="0"/>
    <x v="14"/>
  </r>
  <r>
    <n v="7721"/>
    <x v="2"/>
    <x v="3"/>
    <x v="74"/>
    <m/>
    <m/>
    <m/>
    <m/>
    <x v="1"/>
    <m/>
    <m/>
    <m/>
    <n v="19056"/>
    <n v="0"/>
    <x v="14"/>
  </r>
  <r>
    <n v="7722"/>
    <x v="2"/>
    <x v="3"/>
    <x v="74"/>
    <m/>
    <m/>
    <m/>
    <m/>
    <x v="1"/>
    <m/>
    <m/>
    <m/>
    <n v="19056"/>
    <n v="0"/>
    <x v="14"/>
  </r>
  <r>
    <n v="7736"/>
    <x v="2"/>
    <x v="3"/>
    <x v="75"/>
    <m/>
    <m/>
    <m/>
    <m/>
    <x v="1"/>
    <m/>
    <m/>
    <m/>
    <n v="8002"/>
    <n v="0"/>
    <x v="14"/>
  </r>
  <r>
    <n v="7737"/>
    <x v="2"/>
    <x v="3"/>
    <x v="76"/>
    <m/>
    <m/>
    <m/>
    <m/>
    <x v="1"/>
    <m/>
    <m/>
    <m/>
    <n v="8002"/>
    <n v="0"/>
    <x v="14"/>
  </r>
  <r>
    <n v="7738"/>
    <x v="2"/>
    <x v="3"/>
    <x v="77"/>
    <m/>
    <m/>
    <m/>
    <m/>
    <x v="1"/>
    <m/>
    <m/>
    <m/>
    <n v="19059"/>
    <n v="0"/>
    <x v="15"/>
  </r>
  <r>
    <n v="7739"/>
    <x v="2"/>
    <x v="3"/>
    <x v="77"/>
    <m/>
    <m/>
    <m/>
    <m/>
    <x v="1"/>
    <m/>
    <m/>
    <m/>
    <n v="19059"/>
    <n v="0"/>
    <x v="15"/>
  </r>
  <r>
    <n v="7740"/>
    <x v="2"/>
    <x v="3"/>
    <x v="77"/>
    <m/>
    <m/>
    <m/>
    <m/>
    <x v="1"/>
    <m/>
    <m/>
    <m/>
    <n v="19057"/>
    <n v="0"/>
    <x v="15"/>
  </r>
  <r>
    <n v="7741"/>
    <x v="2"/>
    <x v="3"/>
    <x v="77"/>
    <m/>
    <m/>
    <m/>
    <m/>
    <x v="1"/>
    <m/>
    <m/>
    <m/>
    <n v="19057"/>
    <n v="0"/>
    <x v="15"/>
  </r>
  <r>
    <n v="7742"/>
    <x v="2"/>
    <x v="3"/>
    <x v="77"/>
    <m/>
    <m/>
    <m/>
    <m/>
    <x v="1"/>
    <m/>
    <m/>
    <m/>
    <n v="19055"/>
    <n v="0"/>
    <x v="15"/>
  </r>
  <r>
    <n v="7743"/>
    <x v="2"/>
    <x v="3"/>
    <x v="77"/>
    <m/>
    <m/>
    <m/>
    <m/>
    <x v="1"/>
    <m/>
    <m/>
    <m/>
    <n v="19055"/>
    <n v="0"/>
    <x v="15"/>
  </r>
  <r>
    <n v="7755"/>
    <x v="2"/>
    <x v="3"/>
    <x v="78"/>
    <m/>
    <m/>
    <m/>
    <m/>
    <x v="1"/>
    <m/>
    <m/>
    <m/>
    <n v="19058"/>
    <n v="0"/>
    <x v="15"/>
  </r>
  <r>
    <n v="7756"/>
    <x v="2"/>
    <x v="3"/>
    <x v="79"/>
    <m/>
    <m/>
    <m/>
    <m/>
    <x v="1"/>
    <m/>
    <m/>
    <m/>
    <n v="19058"/>
    <n v="0"/>
    <x v="15"/>
  </r>
  <r>
    <n v="7757"/>
    <x v="2"/>
    <x v="3"/>
    <x v="79"/>
    <m/>
    <m/>
    <m/>
    <m/>
    <x v="1"/>
    <m/>
    <m/>
    <m/>
    <n v="8006"/>
    <n v="0"/>
    <x v="15"/>
  </r>
  <r>
    <n v="7758"/>
    <x v="2"/>
    <x v="3"/>
    <x v="78"/>
    <m/>
    <s v="Furado"/>
    <m/>
    <m/>
    <x v="1"/>
    <m/>
    <m/>
    <m/>
    <n v="19058"/>
    <n v="0"/>
    <x v="15"/>
  </r>
  <r>
    <n v="7759"/>
    <x v="2"/>
    <x v="3"/>
    <x v="78"/>
    <m/>
    <m/>
    <m/>
    <m/>
    <x v="1"/>
    <m/>
    <m/>
    <m/>
    <n v="8009"/>
    <n v="0"/>
    <x v="16"/>
  </r>
  <r>
    <n v="7770"/>
    <x v="2"/>
    <x v="3"/>
    <x v="78"/>
    <m/>
    <m/>
    <m/>
    <m/>
    <x v="1"/>
    <m/>
    <m/>
    <m/>
    <n v="8004"/>
    <n v="0"/>
    <x v="17"/>
  </r>
  <r>
    <n v="7771"/>
    <x v="2"/>
    <x v="3"/>
    <x v="78"/>
    <m/>
    <m/>
    <m/>
    <m/>
    <x v="1"/>
    <m/>
    <m/>
    <m/>
    <n v="8004"/>
    <n v="0"/>
    <x v="17"/>
  </r>
  <r>
    <n v="7786"/>
    <x v="2"/>
    <x v="3"/>
    <x v="80"/>
    <m/>
    <m/>
    <m/>
    <m/>
    <x v="1"/>
    <m/>
    <m/>
    <m/>
    <n v="8009"/>
    <n v="0"/>
    <x v="17"/>
  </r>
  <r>
    <n v="7787"/>
    <x v="2"/>
    <x v="3"/>
    <x v="80"/>
    <m/>
    <m/>
    <m/>
    <m/>
    <x v="1"/>
    <m/>
    <m/>
    <m/>
    <n v="19054"/>
    <n v="0"/>
    <x v="17"/>
  </r>
  <r>
    <n v="7788"/>
    <x v="2"/>
    <x v="3"/>
    <x v="81"/>
    <m/>
    <m/>
    <m/>
    <m/>
    <x v="1"/>
    <m/>
    <m/>
    <m/>
    <n v="19054"/>
    <n v="0"/>
    <x v="17"/>
  </r>
  <r>
    <n v="7789"/>
    <x v="2"/>
    <x v="3"/>
    <x v="80"/>
    <m/>
    <m/>
    <m/>
    <m/>
    <x v="1"/>
    <m/>
    <m/>
    <m/>
    <n v="19051"/>
    <n v="0"/>
    <x v="17"/>
  </r>
  <r>
    <n v="7790"/>
    <x v="2"/>
    <x v="3"/>
    <x v="82"/>
    <m/>
    <m/>
    <m/>
    <m/>
    <x v="1"/>
    <m/>
    <m/>
    <m/>
    <n v="19051"/>
    <n v="0"/>
    <x v="17"/>
  </r>
  <r>
    <n v="7791"/>
    <x v="2"/>
    <x v="3"/>
    <x v="82"/>
    <m/>
    <m/>
    <m/>
    <m/>
    <x v="1"/>
    <m/>
    <m/>
    <m/>
    <n v="19053"/>
    <n v="0"/>
    <x v="17"/>
  </r>
  <r>
    <n v="7792"/>
    <x v="2"/>
    <x v="3"/>
    <x v="80"/>
    <m/>
    <m/>
    <m/>
    <m/>
    <x v="1"/>
    <m/>
    <m/>
    <m/>
    <n v="19053"/>
    <n v="0"/>
    <x v="17"/>
  </r>
  <r>
    <n v="7793"/>
    <x v="2"/>
    <x v="3"/>
    <x v="82"/>
    <m/>
    <m/>
    <m/>
    <m/>
    <x v="1"/>
    <m/>
    <m/>
    <m/>
    <n v="19058"/>
    <n v="0"/>
    <x v="17"/>
  </r>
  <r>
    <n v="7794"/>
    <x v="2"/>
    <x v="3"/>
    <x v="83"/>
    <m/>
    <m/>
    <m/>
    <m/>
    <x v="1"/>
    <m/>
    <m/>
    <m/>
    <n v="19058"/>
    <n v="0"/>
    <x v="17"/>
  </r>
  <r>
    <n v="7795"/>
    <x v="2"/>
    <x v="3"/>
    <x v="84"/>
    <m/>
    <m/>
    <m/>
    <m/>
    <x v="1"/>
    <m/>
    <m/>
    <m/>
    <s v="Estoque"/>
    <n v="0"/>
    <x v="17"/>
  </r>
  <r>
    <n v="7796"/>
    <x v="2"/>
    <x v="3"/>
    <x v="83"/>
    <m/>
    <m/>
    <m/>
    <m/>
    <x v="1"/>
    <m/>
    <m/>
    <m/>
    <s v="Estoque"/>
    <n v="0"/>
    <x v="17"/>
  </r>
  <r>
    <n v="15428"/>
    <x v="2"/>
    <x v="3"/>
    <x v="85"/>
    <m/>
    <m/>
    <m/>
    <m/>
    <x v="1"/>
    <m/>
    <m/>
    <m/>
    <n v="19057"/>
    <n v="0"/>
    <x v="17"/>
  </r>
  <r>
    <n v="15429"/>
    <x v="2"/>
    <x v="3"/>
    <x v="85"/>
    <m/>
    <m/>
    <m/>
    <m/>
    <x v="1"/>
    <m/>
    <m/>
    <m/>
    <n v="19055"/>
    <n v="0"/>
    <x v="17"/>
  </r>
  <r>
    <n v="7818"/>
    <x v="1"/>
    <x v="1"/>
    <x v="86"/>
    <m/>
    <m/>
    <m/>
    <m/>
    <x v="1"/>
    <m/>
    <m/>
    <m/>
    <s v="Estoque"/>
    <n v="0"/>
    <x v="18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n v="0"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  <r>
    <m/>
    <x v="5"/>
    <x v="7"/>
    <x v="87"/>
    <m/>
    <m/>
    <m/>
    <m/>
    <x v="1"/>
    <m/>
    <m/>
    <m/>
    <m/>
    <m/>
    <x v="1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5">
  <r>
    <n v="6727"/>
    <s v="Goodyear"/>
    <s v="G665"/>
    <n v="4314"/>
    <n v="109911"/>
    <s v="Liso"/>
    <n v="104638"/>
    <s v="DVR-M"/>
    <s v="Liso"/>
    <n v="29183"/>
    <x v="0"/>
    <x v="0"/>
    <s v="Sucata"/>
    <n v="243732"/>
    <n v="1117"/>
  </r>
  <r>
    <n v="6728"/>
    <s v="Goodyear"/>
    <s v="G665"/>
    <n v="4314"/>
    <n v="64188"/>
    <s v="Liso"/>
    <n v="107259"/>
    <s v="G665"/>
    <s v="Liso"/>
    <m/>
    <x v="1"/>
    <x v="1"/>
    <s v="Sucata"/>
    <n v="171447"/>
    <n v="1117"/>
  </r>
  <r>
    <n v="6729"/>
    <s v="Goodyear"/>
    <s v="G665"/>
    <n v="4314"/>
    <n v="83250"/>
    <s v="s/ dados"/>
    <m/>
    <m/>
    <m/>
    <m/>
    <x v="1"/>
    <x v="1"/>
    <m/>
    <n v="83250"/>
    <n v="1117"/>
  </r>
  <r>
    <n v="6730"/>
    <s v="Goodyear"/>
    <s v="G665"/>
    <n v="4314"/>
    <n v="81348"/>
    <s v="Liso"/>
    <n v="80912"/>
    <s v="G665"/>
    <s v="Infiltração"/>
    <m/>
    <x v="1"/>
    <x v="1"/>
    <s v="Sucata"/>
    <n v="162260"/>
    <n v="1117"/>
  </r>
  <r>
    <n v="6731"/>
    <s v="Goodyear"/>
    <s v="G665"/>
    <n v="4314"/>
    <n v="122781"/>
    <s v="s/ dados"/>
    <m/>
    <m/>
    <m/>
    <m/>
    <x v="1"/>
    <x v="1"/>
    <m/>
    <n v="122781"/>
    <n v="1117"/>
  </r>
  <r>
    <n v="6732"/>
    <s v="Goodyear"/>
    <s v="G665"/>
    <s v="4314"/>
    <n v="77296"/>
    <s v="Liso"/>
    <n v="77760"/>
    <s v="DVR-M"/>
    <s v="Liso"/>
    <n v="75993"/>
    <x v="2"/>
    <x v="2"/>
    <s v="Sucata"/>
    <n v="231049"/>
    <n v="1117"/>
  </r>
  <r>
    <n v="6733"/>
    <s v="Goodyear"/>
    <s v="G665"/>
    <n v="4314"/>
    <n v="71467"/>
    <s v="Liso"/>
    <n v="91077"/>
    <s v="G665"/>
    <s v="Liso"/>
    <n v="20694"/>
    <x v="3"/>
    <x v="3"/>
    <s v="Sucata"/>
    <n v="183238"/>
    <n v="1117"/>
  </r>
  <r>
    <n v="6734"/>
    <s v="Goodyear"/>
    <s v="G665"/>
    <n v="4314"/>
    <n v="75316"/>
    <s v="Liso"/>
    <n v="95016"/>
    <s v="DVR-M"/>
    <s v="Liso"/>
    <n v="95633"/>
    <x v="4"/>
    <x v="3"/>
    <s v="Sucata"/>
    <n v="265965"/>
    <n v="1117"/>
  </r>
  <r>
    <n v="6735"/>
    <s v="Goodyear"/>
    <s v="G665"/>
    <n v="4314"/>
    <n v="90226"/>
    <s v="Liso"/>
    <n v="51249"/>
    <s v="G665"/>
    <s v="Infiltração"/>
    <m/>
    <x v="1"/>
    <x v="1"/>
    <s v="Sucata"/>
    <n v="141475"/>
    <n v="1117"/>
  </r>
  <r>
    <n v="6752"/>
    <s v="Goodyear"/>
    <s v="G665"/>
    <n v="515"/>
    <n v="62257"/>
    <s v="Desg. Irregular"/>
    <n v="119271"/>
    <s v="G665"/>
    <s v="Liso"/>
    <n v="29668"/>
    <x v="3"/>
    <x v="3"/>
    <s v="Sucata"/>
    <n v="211196"/>
    <n v="1117"/>
  </r>
  <r>
    <n v="6753"/>
    <s v="Goodyear"/>
    <s v="G665"/>
    <n v="515"/>
    <n v="104492"/>
    <s v="Liso"/>
    <n v="79084"/>
    <s v="G665"/>
    <s v="Liso"/>
    <n v="45948"/>
    <x v="3"/>
    <x v="2"/>
    <s v="Sucata"/>
    <n v="229524"/>
    <n v="1117"/>
  </r>
  <r>
    <n v="6754"/>
    <s v="Goodyear"/>
    <s v="G665"/>
    <n v="515"/>
    <n v="80428"/>
    <s v="Desg. Irregular"/>
    <n v="95016"/>
    <s v="G665"/>
    <s v="Liso"/>
    <m/>
    <x v="1"/>
    <x v="1"/>
    <s v="Sucata"/>
    <n v="175444"/>
    <n v="1117"/>
  </r>
  <r>
    <n v="6755"/>
    <s v="Goodyear"/>
    <s v="G665"/>
    <n v="515"/>
    <n v="107971"/>
    <s v="Liso"/>
    <n v="59027"/>
    <s v="DVR-M"/>
    <s v="Liso"/>
    <n v="46742"/>
    <x v="0"/>
    <x v="2"/>
    <s v="Sucata"/>
    <n v="213740"/>
    <n v="1117"/>
  </r>
  <r>
    <n v="6756"/>
    <s v="Goodyear"/>
    <s v="G665"/>
    <n v="515"/>
    <n v="104564"/>
    <s v="Liso"/>
    <n v="72481"/>
    <s v="G665"/>
    <s v="Liso"/>
    <n v="35522"/>
    <x v="3"/>
    <x v="3"/>
    <s v="Sucata"/>
    <n v="212567"/>
    <n v="1117"/>
  </r>
  <r>
    <n v="6757"/>
    <s v="Goodyear"/>
    <s v="G665"/>
    <n v="515"/>
    <n v="94368"/>
    <s v="Liso"/>
    <n v="77456"/>
    <s v="DVR-M"/>
    <s v="Liso"/>
    <n v="19148"/>
    <x v="0"/>
    <x v="3"/>
    <s v="Sucata"/>
    <n v="190972"/>
    <n v="1117"/>
  </r>
  <r>
    <n v="6758"/>
    <s v="Goodyear"/>
    <s v="G665"/>
    <n v="515"/>
    <n v="78579"/>
    <s v="Liso"/>
    <n v="69492"/>
    <s v="DVR-M"/>
    <s v="Furado"/>
    <n v="86284"/>
    <x v="4"/>
    <x v="2"/>
    <s v="Sucata"/>
    <n v="234355"/>
    <n v="1117"/>
  </r>
  <r>
    <n v="6759"/>
    <s v="Goodyear"/>
    <s v="G665"/>
    <n v="515"/>
    <n v="79044"/>
    <s v="Liso"/>
    <n v="40043"/>
    <s v="G665"/>
    <s v="Liso"/>
    <n v="18494"/>
    <x v="3"/>
    <x v="3"/>
    <s v="Sucata"/>
    <n v="137581"/>
    <n v="1117"/>
  </r>
  <r>
    <n v="6760"/>
    <s v="Goodyear"/>
    <s v="G665"/>
    <n v="515"/>
    <n v="34644"/>
    <s v="Desg. Irregular"/>
    <n v="102700"/>
    <s v="G665"/>
    <s v="Liso"/>
    <n v="33435"/>
    <x v="3"/>
    <x v="3"/>
    <s v="Sucata"/>
    <n v="170779"/>
    <n v="1117"/>
  </r>
  <r>
    <n v="6761"/>
    <s v="Goodyear"/>
    <s v="G665"/>
    <n v="515"/>
    <n v="34644"/>
    <s v="Desg. Irregular"/>
    <n v="119271"/>
    <s v="MC01"/>
    <s v="Liso"/>
    <n v="47119"/>
    <x v="2"/>
    <x v="2"/>
    <s v="Sucata"/>
    <n v="201034"/>
    <n v="1117"/>
  </r>
  <r>
    <n v="6770"/>
    <s v="Goodyear"/>
    <s v="G665"/>
    <n v="1115"/>
    <n v="64877"/>
    <s v="Liso"/>
    <n v="112190"/>
    <s v="DVR-M"/>
    <s v="Liso"/>
    <n v="48989"/>
    <x v="0"/>
    <x v="3"/>
    <s v="Sucata"/>
    <n v="226056"/>
    <n v="1117"/>
  </r>
  <r>
    <n v="6771"/>
    <s v="Goodyear"/>
    <s v="G665"/>
    <n v="1115"/>
    <n v="87085"/>
    <s v="Liso"/>
    <n v="78710"/>
    <s v="DVR-M"/>
    <s v="Liso"/>
    <n v="45567"/>
    <x v="0"/>
    <x v="2"/>
    <s v="Sucata"/>
    <n v="211362"/>
    <n v="1117"/>
  </r>
  <r>
    <n v="6772"/>
    <s v="Goodyear"/>
    <s v="G665"/>
    <n v="1115"/>
    <n v="64264"/>
    <s v="Liso"/>
    <n v="113377"/>
    <s v="DVR-M"/>
    <s v="Liso"/>
    <n v="53770"/>
    <x v="0"/>
    <x v="2"/>
    <s v="Sucata"/>
    <n v="231411"/>
    <n v="1117"/>
  </r>
  <r>
    <n v="6773"/>
    <s v="Goodyear"/>
    <s v="G665"/>
    <n v="1115"/>
    <n v="98579"/>
    <s v="Liso"/>
    <n v="76307"/>
    <s v="DVR-M"/>
    <s v="Liso"/>
    <n v="58167"/>
    <x v="0"/>
    <x v="2"/>
    <s v="Sucata"/>
    <n v="233053"/>
    <n v="1117"/>
  </r>
  <r>
    <n v="6774"/>
    <s v="Goodyear"/>
    <s v="G665"/>
    <n v="1115"/>
    <n v="98579"/>
    <s v="Liso"/>
    <n v="76307"/>
    <s v="DVR-M"/>
    <s v="Liso"/>
    <n v="58167"/>
    <x v="0"/>
    <x v="2"/>
    <s v="Sucata"/>
    <n v="233053"/>
    <n v="1117"/>
  </r>
  <r>
    <n v="6775"/>
    <s v="Goodyear"/>
    <s v="G665"/>
    <n v="1115"/>
    <n v="66643"/>
    <s v="Liso"/>
    <n v="113377"/>
    <s v="DVR-M"/>
    <s v="Liso"/>
    <n v="68344"/>
    <x v="0"/>
    <x v="2"/>
    <s v="Sucata"/>
    <n v="248364"/>
    <n v="1117"/>
  </r>
  <r>
    <n v="6776"/>
    <s v="Goodyear"/>
    <s v="G665"/>
    <n v="1115"/>
    <n v="66643"/>
    <s v="Liso"/>
    <n v="88331"/>
    <s v="DVR-M"/>
    <s v="Liso"/>
    <n v="56272"/>
    <x v="0"/>
    <x v="3"/>
    <s v="Sucata"/>
    <n v="211246"/>
    <n v="1117"/>
  </r>
  <r>
    <n v="6777"/>
    <s v="Goodyear"/>
    <s v="G665"/>
    <n v="1115"/>
    <n v="82560"/>
    <s v="Liso"/>
    <n v="79084"/>
    <s v="G665"/>
    <s v="Liso"/>
    <n v="8125"/>
    <x v="3"/>
    <x v="0"/>
    <s v="Sucata"/>
    <n v="169769"/>
    <n v="1117"/>
  </r>
  <r>
    <n v="6786"/>
    <s v="Goodyear"/>
    <s v="G665"/>
    <n v="1615"/>
    <n v="84006"/>
    <s v="Liso"/>
    <n v="86268"/>
    <s v="G665"/>
    <s v="Liso"/>
    <n v="57228"/>
    <x v="0"/>
    <x v="2"/>
    <s v="Sucata"/>
    <n v="227502"/>
    <n v="1117"/>
  </r>
  <r>
    <n v="6787"/>
    <s v="Goodyear"/>
    <s v="G665"/>
    <n v="1615"/>
    <n v="49153"/>
    <s v="Liso"/>
    <n v="99647"/>
    <s v="DVR-M"/>
    <s v="Liso"/>
    <n v="60010"/>
    <x v="0"/>
    <x v="2"/>
    <s v="Sucata"/>
    <n v="208810"/>
    <n v="1117"/>
  </r>
  <r>
    <n v="6788"/>
    <s v="Goodyear"/>
    <s v="G665"/>
    <n v="1615"/>
    <n v="81023"/>
    <s v="Liso"/>
    <n v="77456"/>
    <s v="DVR-M"/>
    <s v="Liso"/>
    <n v="42754"/>
    <x v="0"/>
    <x v="2"/>
    <s v="Sucata"/>
    <n v="201233"/>
    <n v="1117"/>
  </r>
  <r>
    <n v="6789"/>
    <s v="Goodyear"/>
    <s v="G665"/>
    <n v="1615"/>
    <n v="107377"/>
    <s v="Liso"/>
    <n v="93124"/>
    <s v="G665"/>
    <s v="Liso"/>
    <n v="37535"/>
    <x v="0"/>
    <x v="0"/>
    <s v="Sucata"/>
    <n v="238036"/>
    <n v="1117"/>
  </r>
  <r>
    <n v="6792"/>
    <s v="Goodyear"/>
    <s v="G665"/>
    <n v="1615"/>
    <n v="57492"/>
    <s v="Desg. Irregular"/>
    <n v="87528"/>
    <s v="DVR-M"/>
    <s v="Liso"/>
    <n v="63723"/>
    <x v="2"/>
    <x v="2"/>
    <s v="Sucata"/>
    <n v="208743"/>
    <n v="1117"/>
  </r>
  <r>
    <n v="6793"/>
    <s v="Goodyear"/>
    <s v="G665"/>
    <n v="1615"/>
    <n v="62249"/>
    <s v="Furado"/>
    <n v="72481"/>
    <s v="DVR-M"/>
    <s v="Liso"/>
    <n v="97462"/>
    <x v="4"/>
    <x v="2"/>
    <s v="Sucata"/>
    <n v="232192"/>
    <n v="1117"/>
  </r>
  <r>
    <n v="6826"/>
    <s v="Goodyear"/>
    <s v="G665"/>
    <n v="3315"/>
    <n v="95009"/>
    <s v="Liso"/>
    <n v="90713"/>
    <s v="DVR-M"/>
    <s v="Liso"/>
    <m/>
    <x v="1"/>
    <x v="1"/>
    <s v="Sucata"/>
    <n v="185722"/>
    <n v="1117"/>
  </r>
  <r>
    <n v="6827"/>
    <s v="Goodyear"/>
    <s v="G665"/>
    <n v="3315"/>
    <n v="50337"/>
    <s v="Liso"/>
    <n v="65844"/>
    <s v="DVR-M"/>
    <s v="Liso"/>
    <n v="52787"/>
    <x v="0"/>
    <x v="2"/>
    <s v="Sucata"/>
    <n v="168968"/>
    <n v="1117"/>
  </r>
  <r>
    <n v="6828"/>
    <s v="Goodyear"/>
    <s v="G665"/>
    <n v="3315"/>
    <n v="64731"/>
    <s v="Liso"/>
    <n v="78314"/>
    <s v="DVR-M"/>
    <s v="Liso"/>
    <n v="42294"/>
    <x v="0"/>
    <x v="2"/>
    <s v="Sucata"/>
    <n v="185339"/>
    <n v="1117"/>
  </r>
  <r>
    <n v="6829"/>
    <s v="Goodyear"/>
    <s v="G665"/>
    <n v="3315"/>
    <n v="129606"/>
    <s v="Liso"/>
    <n v="84157"/>
    <s v="G665"/>
    <s v="Liso"/>
    <n v="35768"/>
    <x v="0"/>
    <x v="3"/>
    <s v="Sucata"/>
    <n v="249531"/>
    <n v="1117"/>
  </r>
  <r>
    <n v="6830"/>
    <s v="Goodyear"/>
    <s v="G665"/>
    <n v="3315"/>
    <n v="96690"/>
    <s v="Liso"/>
    <n v="114425"/>
    <s v="DVR-M"/>
    <s v="Liso"/>
    <n v="48548"/>
    <x v="0"/>
    <x v="4"/>
    <m/>
    <n v="259663"/>
    <n v="1117"/>
  </r>
  <r>
    <n v="6831"/>
    <s v="Goodyear"/>
    <s v="G665"/>
    <n v="3315"/>
    <n v="112988"/>
    <s v="Liso"/>
    <n v="53521"/>
    <s v="DVR-M"/>
    <s v="Furado"/>
    <m/>
    <x v="1"/>
    <x v="1"/>
    <s v="Sucata"/>
    <n v="166509"/>
    <n v="1117"/>
  </r>
  <r>
    <n v="6832"/>
    <s v="Goodyear"/>
    <s v="G665"/>
    <n v="3215"/>
    <n v="50956"/>
    <s v="Liso"/>
    <n v="76307"/>
    <s v="DVR-M"/>
    <s v="Liso"/>
    <n v="58734"/>
    <x v="0"/>
    <x v="2"/>
    <s v="Sucata"/>
    <n v="185997"/>
    <n v="1117"/>
  </r>
  <r>
    <n v="6833"/>
    <s v="Goodyear"/>
    <s v="G665"/>
    <n v="3215"/>
    <n v="95420"/>
    <s v="Liso"/>
    <n v="96646"/>
    <s v="G665"/>
    <s v="Liso"/>
    <n v="20231"/>
    <x v="0"/>
    <x v="3"/>
    <s v="Sucata"/>
    <n v="212297"/>
    <n v="1117"/>
  </r>
  <r>
    <n v="6834"/>
    <s v="Goodyear"/>
    <s v="G665"/>
    <n v="3215"/>
    <n v="83847"/>
    <s v="Liso"/>
    <n v="69532"/>
    <s v="G665"/>
    <s v="Liso"/>
    <n v="37702"/>
    <x v="0"/>
    <x v="3"/>
    <s v="Sucata"/>
    <n v="191081"/>
    <n v="1117"/>
  </r>
  <r>
    <n v="6835"/>
    <s v="Goodyear"/>
    <s v="G665"/>
    <n v="3215"/>
    <n v="97923"/>
    <s v="Liso"/>
    <n v="68686"/>
    <s v="G665"/>
    <s v="Liso"/>
    <n v="3422"/>
    <x v="0"/>
    <x v="3"/>
    <s v="Sucata"/>
    <n v="170031"/>
    <n v="1117"/>
  </r>
  <r>
    <n v="6846"/>
    <s v="Goodyear"/>
    <s v="G665"/>
    <n v="3915"/>
    <n v="93611"/>
    <s v="Liso"/>
    <n v="79412"/>
    <s v="G665"/>
    <s v="Furado"/>
    <n v="44210"/>
    <x v="0"/>
    <x v="3"/>
    <s v="Sucata"/>
    <n v="217233"/>
    <n v="1117"/>
  </r>
  <r>
    <n v="6847"/>
    <s v="Goodyear"/>
    <s v="G665"/>
    <n v="3915"/>
    <n v="79664"/>
    <s v="Liso"/>
    <n v="68686"/>
    <s v="G665"/>
    <s v="Liso"/>
    <n v="42468"/>
    <x v="0"/>
    <x v="2"/>
    <s v="Sucata"/>
    <n v="190818"/>
    <n v="1117"/>
  </r>
  <r>
    <n v="6848"/>
    <s v="Goodyear"/>
    <s v="G665"/>
    <n v="3915"/>
    <n v="66603"/>
    <s v="Liso"/>
    <n v="69354"/>
    <s v="DVR-M"/>
    <s v="Liso"/>
    <n v="60892"/>
    <x v="0"/>
    <x v="2"/>
    <s v="Sucata"/>
    <n v="196849"/>
    <n v="1117"/>
  </r>
  <r>
    <n v="6849"/>
    <s v="Goodyear"/>
    <s v="G665"/>
    <n v="3915"/>
    <n v="106916"/>
    <s v="Liso"/>
    <m/>
    <m/>
    <m/>
    <m/>
    <x v="1"/>
    <x v="1"/>
    <s v="Sucata"/>
    <n v="106916"/>
    <n v="1117"/>
  </r>
  <r>
    <n v="6856"/>
    <s v="Pirelli"/>
    <s v="MC01"/>
    <n v="2715"/>
    <n v="100345"/>
    <s v="Liso"/>
    <n v="94612"/>
    <s v="DVR-M"/>
    <s v="Liso"/>
    <n v="23700"/>
    <x v="0"/>
    <x v="4"/>
    <m/>
    <n v="218657"/>
    <n v="1240"/>
  </r>
  <r>
    <n v="6857"/>
    <s v="Pirelli"/>
    <s v="MC01"/>
    <n v="4015"/>
    <n v="67632"/>
    <s v="Desg. Irregular"/>
    <n v="96646"/>
    <s v="DVR-M"/>
    <s v="Liso"/>
    <n v="31032"/>
    <x v="0"/>
    <x v="0"/>
    <s v="Sucata"/>
    <n v="195310"/>
    <n v="1240"/>
  </r>
  <r>
    <n v="6858"/>
    <s v="Pirelli"/>
    <s v="MC01"/>
    <n v="4115"/>
    <n v="85407"/>
    <s v="Furado"/>
    <m/>
    <m/>
    <m/>
    <m/>
    <x v="1"/>
    <x v="1"/>
    <s v="Sucata"/>
    <n v="85407"/>
    <n v="1240"/>
  </r>
  <r>
    <n v="6859"/>
    <s v="Pirelli"/>
    <s v="MC01"/>
    <n v="4215"/>
    <n v="68698"/>
    <s v="Furado"/>
    <n v="56518"/>
    <s v="G665"/>
    <s v="Furado"/>
    <m/>
    <x v="1"/>
    <x v="1"/>
    <s v="Sucata"/>
    <n v="125216"/>
    <n v="1240"/>
  </r>
  <r>
    <n v="6860"/>
    <s v="Pirelli"/>
    <s v="MC01"/>
    <n v="2515"/>
    <n v="66768"/>
    <s v="Furado"/>
    <n v="51335"/>
    <s v="DVR-M"/>
    <s v="Liso"/>
    <n v="62945"/>
    <x v="0"/>
    <x v="2"/>
    <s v="Sucata"/>
    <n v="181048"/>
    <n v="1240"/>
  </r>
  <r>
    <n v="6861"/>
    <s v="Pirelli"/>
    <s v="MC01"/>
    <n v="4115"/>
    <n v="47715"/>
    <s v="Furado"/>
    <n v="56662"/>
    <s v="G665"/>
    <s v="Furado"/>
    <n v="30406"/>
    <x v="3"/>
    <x v="3"/>
    <s v="Sucata"/>
    <n v="134783"/>
    <n v="1240"/>
  </r>
  <r>
    <n v="6862"/>
    <s v="Pirelli"/>
    <s v="MC01"/>
    <n v="2615"/>
    <n v="79400"/>
    <s v="Liso"/>
    <n v="70946"/>
    <s v="DVR-M"/>
    <s v="Furado"/>
    <m/>
    <x v="1"/>
    <x v="1"/>
    <s v="Sucata"/>
    <n v="150346"/>
    <n v="1240"/>
  </r>
  <r>
    <n v="6863"/>
    <s v="Pirelli"/>
    <s v="MC01"/>
    <n v="4015"/>
    <n v="95601"/>
    <s v="Liso"/>
    <n v="94612"/>
    <s v="DVR-M"/>
    <s v="Liso"/>
    <n v="23700"/>
    <x v="0"/>
    <x v="4"/>
    <m/>
    <n v="213913"/>
    <n v="1240"/>
  </r>
  <r>
    <n v="6864"/>
    <s v="Pirelli"/>
    <s v="MC01"/>
    <n v="4215"/>
    <n v="83782"/>
    <s v="Infiltração"/>
    <m/>
    <m/>
    <m/>
    <m/>
    <x v="1"/>
    <x v="1"/>
    <s v="Sucata"/>
    <n v="83782"/>
    <n v="1240"/>
  </r>
  <r>
    <n v="6865"/>
    <s v="Pirelli"/>
    <s v="MC01"/>
    <n v="2715"/>
    <n v="142357"/>
    <s v="Liso"/>
    <n v="90713"/>
    <s v="DVR-M"/>
    <s v="Liso"/>
    <n v="38673"/>
    <x v="0"/>
    <x v="4"/>
    <m/>
    <n v="271743"/>
    <n v="1240"/>
  </r>
  <r>
    <n v="6866"/>
    <s v="Pirelli"/>
    <s v="MC01"/>
    <n v="2315"/>
    <n v="88232"/>
    <s v="Liso"/>
    <n v="88635"/>
    <s v="DVR-M"/>
    <s v="Liso"/>
    <n v="52000"/>
    <x v="0"/>
    <x v="2"/>
    <s v="Sucata"/>
    <n v="228867"/>
    <n v="1240"/>
  </r>
  <r>
    <n v="6867"/>
    <s v="Pirelli"/>
    <s v="MC01"/>
    <n v="2515"/>
    <n v="114620"/>
    <s v="Liso"/>
    <n v="44908"/>
    <s v="DVR-M"/>
    <s v="s/ dados"/>
    <m/>
    <x v="1"/>
    <x v="1"/>
    <m/>
    <n v="159528"/>
    <n v="1240"/>
  </r>
  <r>
    <n v="6868"/>
    <s v="Pirelli"/>
    <s v="MC01"/>
    <n v="2715"/>
    <n v="126422"/>
    <s v="Liso"/>
    <n v="96055"/>
    <s v="DVR-M"/>
    <s v="Liso"/>
    <n v="30557"/>
    <x v="0"/>
    <x v="3"/>
    <s v="Sucata"/>
    <n v="253034"/>
    <n v="1240"/>
  </r>
  <r>
    <n v="6869"/>
    <s v="Pirelli"/>
    <s v="MC01"/>
    <n v="2715"/>
    <n v="126422"/>
    <s v="Liso"/>
    <n v="82727"/>
    <s v="DVR-M"/>
    <s v="Furado"/>
    <m/>
    <x v="1"/>
    <x v="1"/>
    <s v="Sucata"/>
    <n v="209149"/>
    <n v="1240"/>
  </r>
  <r>
    <n v="6870"/>
    <s v="Pirelli"/>
    <s v="MC01"/>
    <n v="2615"/>
    <n v="88601"/>
    <s v="Liso"/>
    <n v="102407"/>
    <s v="DVR-M"/>
    <s v="s/ dados"/>
    <m/>
    <x v="1"/>
    <x v="1"/>
    <m/>
    <n v="191008"/>
    <n v="1280"/>
  </r>
  <r>
    <n v="6871"/>
    <s v="Pirelli"/>
    <s v="MC01"/>
    <n v="2615"/>
    <n v="115250"/>
    <s v="Liso"/>
    <n v="107606"/>
    <s v="DVR-M"/>
    <s v="Infiltração"/>
    <m/>
    <x v="1"/>
    <x v="1"/>
    <s v="Sucata"/>
    <n v="222856"/>
    <n v="1280"/>
  </r>
  <r>
    <n v="6872"/>
    <s v="Pirelli"/>
    <s v="MC01"/>
    <n v="2615"/>
    <n v="29810"/>
    <s v="Liso"/>
    <n v="77044"/>
    <s v="DVR-M"/>
    <s v="s/ dados"/>
    <n v="102407"/>
    <x v="4"/>
    <x v="1"/>
    <m/>
    <n v="209261"/>
    <n v="1280"/>
  </r>
  <r>
    <n v="6873"/>
    <s v="Pirelli"/>
    <s v="MC01"/>
    <n v="3315"/>
    <n v="97557"/>
    <s v="Liso"/>
    <n v="94612"/>
    <s v="DVR-M"/>
    <s v="Liso"/>
    <n v="48417"/>
    <x v="0"/>
    <x v="3"/>
    <s v="Sucata"/>
    <n v="240586"/>
    <n v="1280"/>
  </r>
  <r>
    <n v="6874"/>
    <s v="Pirelli"/>
    <s v="MC01"/>
    <n v="2615"/>
    <n v="98080"/>
    <s v="Liso"/>
    <n v="98717"/>
    <s v="DVR-M"/>
    <s v="Infiltração"/>
    <m/>
    <x v="1"/>
    <x v="1"/>
    <s v="Sucata"/>
    <n v="196797"/>
    <n v="1280"/>
  </r>
  <r>
    <n v="6875"/>
    <s v="Pirelli"/>
    <s v="MC01"/>
    <n v="2615"/>
    <n v="86175"/>
    <s v="Liso"/>
    <n v="85984"/>
    <s v="DVR-M"/>
    <s v="Liso"/>
    <m/>
    <x v="1"/>
    <x v="1"/>
    <s v="Sucata"/>
    <n v="172159"/>
    <n v="1701"/>
  </r>
  <r>
    <n v="6888"/>
    <s v="Pirelli"/>
    <s v="MC01"/>
    <n v="4415"/>
    <n v="100537"/>
    <s v="Liso"/>
    <n v="107606"/>
    <s v="DVR-M"/>
    <s v="Liso"/>
    <m/>
    <x v="1"/>
    <x v="1"/>
    <s v="Sucata"/>
    <n v="208143"/>
    <n v="1701"/>
  </r>
  <r>
    <n v="6889"/>
    <s v="Pirelli"/>
    <s v="MC01"/>
    <n v="4415"/>
    <n v="123875"/>
    <s v="Furado"/>
    <m/>
    <m/>
    <m/>
    <m/>
    <x v="1"/>
    <x v="1"/>
    <s v="Sucata"/>
    <n v="123875"/>
    <n v="1701"/>
  </r>
  <r>
    <n v="6890"/>
    <s v="Pirelli"/>
    <s v="MC01"/>
    <n v="4415"/>
    <n v="132830"/>
    <s v="Liso"/>
    <n v="74868"/>
    <s v="DVR-M"/>
    <s v="Liso"/>
    <m/>
    <x v="1"/>
    <x v="1"/>
    <s v="Sucata"/>
    <n v="207698"/>
    <n v="1701"/>
  </r>
  <r>
    <n v="6891"/>
    <s v="Pirelli"/>
    <s v="MC01"/>
    <n v="4415"/>
    <n v="96583"/>
    <s v="Furado"/>
    <m/>
    <m/>
    <m/>
    <m/>
    <x v="1"/>
    <x v="1"/>
    <s v="Sucata"/>
    <n v="96583"/>
    <n v="1701"/>
  </r>
  <r>
    <n v="6910"/>
    <s v="Pirelli"/>
    <s v="MC01"/>
    <n v="4515"/>
    <n v="125751"/>
    <s v="Liso"/>
    <n v="72006"/>
    <s v="DVR-M"/>
    <s v="Infiltração"/>
    <m/>
    <x v="1"/>
    <x v="1"/>
    <s v="Sucata"/>
    <n v="197757"/>
    <n v="1701"/>
  </r>
  <r>
    <n v="6911"/>
    <s v="Pirelli"/>
    <s v="MC01"/>
    <n v="4515"/>
    <n v="102115"/>
    <s v="Furado"/>
    <m/>
    <m/>
    <m/>
    <m/>
    <x v="1"/>
    <x v="1"/>
    <s v="Sucata"/>
    <n v="102115"/>
    <n v="1701"/>
  </r>
  <r>
    <n v="6912"/>
    <s v="Pirelli"/>
    <s v="MC01"/>
    <n v="4415"/>
    <n v="101588"/>
    <s v="Liso"/>
    <n v="97639"/>
    <s v="DVR-M"/>
    <s v="Liso"/>
    <m/>
    <x v="1"/>
    <x v="1"/>
    <s v="Sucata"/>
    <n v="199227"/>
    <n v="1701"/>
  </r>
  <r>
    <n v="6913"/>
    <s v="Pirelli"/>
    <s v="MC01"/>
    <n v="4515"/>
    <n v="107149"/>
    <s v="Liso"/>
    <n v="77115"/>
    <s v="DVR-M"/>
    <s v="Liso"/>
    <m/>
    <x v="1"/>
    <x v="1"/>
    <s v="Sucata"/>
    <n v="184264"/>
    <n v="1701"/>
  </r>
  <r>
    <n v="6924"/>
    <s v="Pirelli"/>
    <s v="MC01"/>
    <n v="1116"/>
    <n v="138084"/>
    <s v="Liso"/>
    <n v="93088"/>
    <s v="DVR-M"/>
    <s v="s/ dados"/>
    <m/>
    <x v="1"/>
    <x v="1"/>
    <m/>
    <n v="231172"/>
    <n v="1701"/>
  </r>
  <r>
    <n v="6925"/>
    <s v="Pirelli"/>
    <s v="MC01"/>
    <n v="1116"/>
    <n v="138084"/>
    <s v="Liso"/>
    <n v="93088"/>
    <s v="DVR-M"/>
    <s v="s/ dados"/>
    <m/>
    <x v="1"/>
    <x v="1"/>
    <m/>
    <n v="231172"/>
    <n v="1701"/>
  </r>
  <r>
    <n v="6926"/>
    <s v="Pirelli"/>
    <s v="MC01"/>
    <n v="1116"/>
    <n v="108428"/>
    <s v="Liso"/>
    <n v="95316"/>
    <s v="BusPlus"/>
    <s v="Liso"/>
    <n v="39631"/>
    <x v="0"/>
    <x v="2"/>
    <s v="Sucata"/>
    <n v="243375"/>
    <n v="1701"/>
  </r>
  <r>
    <n v="6927"/>
    <s v="Pirelli"/>
    <s v="MC01"/>
    <n v="616"/>
    <n v="108428"/>
    <s v="Liso"/>
    <n v="95316"/>
    <s v="BusPlus"/>
    <s v="Liso"/>
    <n v="31415"/>
    <x v="0"/>
    <x v="3"/>
    <s v="Sucata"/>
    <n v="235159"/>
    <n v="1701"/>
  </r>
  <r>
    <n v="6928"/>
    <s v="Pirelli"/>
    <s v="MC01"/>
    <n v="1116"/>
    <n v="123045"/>
    <s v="Liso"/>
    <n v="95316"/>
    <s v="BusPlus"/>
    <s v="Liso"/>
    <n v="35931"/>
    <x v="0"/>
    <x v="2"/>
    <s v="Sucata"/>
    <n v="254292"/>
    <n v="1701"/>
  </r>
  <r>
    <n v="6929"/>
    <s v="Pirelli"/>
    <s v="MC01"/>
    <n v="1116"/>
    <n v="114514"/>
    <s v="Liso"/>
    <n v="67410"/>
    <s v="DVR-M"/>
    <s v="s/ dados"/>
    <m/>
    <x v="1"/>
    <x v="1"/>
    <m/>
    <n v="181924"/>
    <n v="1701"/>
  </r>
  <r>
    <n v="6930"/>
    <s v="Pirelli"/>
    <s v="MC01"/>
    <n v="1116"/>
    <n v="107138"/>
    <s v="Furado"/>
    <n v="37028"/>
    <s v="DVR-M"/>
    <s v="Infiltração"/>
    <m/>
    <x v="1"/>
    <x v="1"/>
    <s v="Sucata"/>
    <n v="144166"/>
    <n v="1701"/>
  </r>
  <r>
    <n v="6931"/>
    <s v="Pirelli"/>
    <s v="MC01"/>
    <n v="1116"/>
    <n v="130214"/>
    <s v="Liso"/>
    <n v="95257"/>
    <s v="DVR-M"/>
    <s v="s/ dados"/>
    <m/>
    <x v="1"/>
    <x v="1"/>
    <m/>
    <n v="225471"/>
    <n v="1701"/>
  </r>
  <r>
    <n v="6954"/>
    <s v="Pirelli"/>
    <s v="MC01"/>
    <n v="716"/>
    <n v="92815"/>
    <s v="Furado"/>
    <n v="96419"/>
    <s v="DVR-M"/>
    <s v="Liso"/>
    <m/>
    <x v="1"/>
    <x v="1"/>
    <s v="Sucata"/>
    <n v="189234"/>
    <n v="1701"/>
  </r>
  <r>
    <n v="6955"/>
    <s v="Pirelli"/>
    <s v="MC01"/>
    <n v="1016"/>
    <n v="132199"/>
    <s v="Liso"/>
    <n v="67410"/>
    <s v="DVR-M"/>
    <s v="s/ dados"/>
    <m/>
    <x v="1"/>
    <x v="1"/>
    <m/>
    <n v="199609"/>
    <n v="1701"/>
  </r>
  <r>
    <n v="6956"/>
    <s v="Pirelli"/>
    <s v="MC01"/>
    <n v="1316"/>
    <n v="118512"/>
    <s v="Liso"/>
    <n v="95316"/>
    <s v="BusPlus"/>
    <s v="Liso"/>
    <n v="14956"/>
    <x v="0"/>
    <x v="4"/>
    <m/>
    <n v="228784"/>
    <n v="1701"/>
  </r>
  <r>
    <n v="6957"/>
    <s v="Pirelli"/>
    <s v="MC01"/>
    <n v="1316"/>
    <n v="110482"/>
    <s v="Liso"/>
    <n v="67410"/>
    <s v="DVR-M"/>
    <s v="s/ dados"/>
    <m/>
    <x v="1"/>
    <x v="1"/>
    <m/>
    <n v="177892"/>
    <n v="1701"/>
  </r>
  <r>
    <n v="6964"/>
    <s v="Pirelli"/>
    <s v="MC01"/>
    <n v="3116"/>
    <n v="127850"/>
    <s v="Liso"/>
    <n v="85885"/>
    <s v="DVR-M"/>
    <s v="s/ dados"/>
    <m/>
    <x v="1"/>
    <x v="1"/>
    <m/>
    <n v="213735"/>
    <n v="1701"/>
  </r>
  <r>
    <n v="6965"/>
    <s v="Pirelli"/>
    <s v="MC01"/>
    <n v="3016"/>
    <n v="98428"/>
    <s v="Liso"/>
    <n v="74367"/>
    <s v="BusPlus"/>
    <s v="Infiltração"/>
    <m/>
    <x v="1"/>
    <x v="1"/>
    <s v="Sucata"/>
    <n v="172795"/>
    <n v="1701"/>
  </r>
  <r>
    <n v="6966"/>
    <s v="Pirelli"/>
    <s v="MC01"/>
    <n v="3116"/>
    <n v="58877"/>
    <s v="Infiltração"/>
    <m/>
    <m/>
    <m/>
    <m/>
    <x v="1"/>
    <x v="1"/>
    <s v="Sucata"/>
    <n v="58877"/>
    <n v="1701"/>
  </r>
  <r>
    <n v="6967"/>
    <s v="Pirelli"/>
    <s v="MC01"/>
    <n v="3016"/>
    <n v="159165"/>
    <s v="Liso"/>
    <n v="124564"/>
    <s v="BusPlus"/>
    <s v="Liso"/>
    <m/>
    <x v="1"/>
    <x v="1"/>
    <s v="Sucata"/>
    <n v="283729"/>
    <n v="1701"/>
  </r>
  <r>
    <n v="6968"/>
    <s v="Pirelli"/>
    <s v="MC01"/>
    <n v="3116"/>
    <n v="87540"/>
    <s v="Desg. Irregular"/>
    <n v="89100"/>
    <s v="DVR-M"/>
    <s v="Liso"/>
    <m/>
    <x v="1"/>
    <x v="1"/>
    <s v="Sucata"/>
    <n v="176640"/>
    <n v="1701"/>
  </r>
  <r>
    <n v="6969"/>
    <s v="Pirelli"/>
    <s v="MC01"/>
    <n v="3016"/>
    <n v="112367"/>
    <s v="Liso"/>
    <n v="83619"/>
    <s v="DVR-M"/>
    <s v="Liso"/>
    <m/>
    <x v="1"/>
    <x v="1"/>
    <s v="Sucata"/>
    <n v="195986"/>
    <n v="1701"/>
  </r>
  <r>
    <n v="6970"/>
    <s v="Pirelli"/>
    <s v="MC01"/>
    <n v="3016"/>
    <n v="70155"/>
    <s v="Liso"/>
    <n v="95643"/>
    <s v="DVR-M"/>
    <s v="Liso"/>
    <m/>
    <x v="1"/>
    <x v="1"/>
    <s v="Sucata"/>
    <n v="165798"/>
    <n v="1701"/>
  </r>
  <r>
    <n v="6971"/>
    <s v="Pirelli"/>
    <s v="MC01"/>
    <n v="3116"/>
    <n v="70155"/>
    <s v="Liso"/>
    <n v="95643"/>
    <s v="DVR-M"/>
    <s v="Liso"/>
    <m/>
    <x v="1"/>
    <x v="1"/>
    <s v="Sucata"/>
    <n v="165798"/>
    <n v="1701"/>
  </r>
  <r>
    <n v="6976"/>
    <s v="Pirelli"/>
    <s v="MC01"/>
    <n v="2916"/>
    <n v="140581"/>
    <s v="Liso"/>
    <n v="34918"/>
    <s v="BusPlus"/>
    <s v="Infiltração"/>
    <m/>
    <x v="1"/>
    <x v="1"/>
    <s v="Sucata"/>
    <n v="175499"/>
    <n v="1701"/>
  </r>
  <r>
    <n v="6977"/>
    <s v="Pirelli"/>
    <s v="MC01"/>
    <n v="2716"/>
    <n v="121446"/>
    <s v="Liso"/>
    <n v="39278"/>
    <s v="DVR-M"/>
    <s v="Infiltração"/>
    <m/>
    <x v="1"/>
    <x v="1"/>
    <s v="Sucata"/>
    <n v="160724"/>
    <n v="1701"/>
  </r>
  <r>
    <n v="6978"/>
    <s v="Pirelli"/>
    <s v="MC01"/>
    <n v="2916"/>
    <n v="111062"/>
    <s v="Liso"/>
    <n v="66140"/>
    <s v="BusPlus"/>
    <s v="Infiltração"/>
    <m/>
    <x v="1"/>
    <x v="1"/>
    <s v="Sucata"/>
    <n v="177202"/>
    <n v="1701"/>
  </r>
  <r>
    <n v="6979"/>
    <s v="Pirelli"/>
    <s v="MC01"/>
    <n v="2916"/>
    <n v="87515"/>
    <s v="Liso"/>
    <n v="52062"/>
    <s v="DVR-M"/>
    <s v="Infiltração"/>
    <m/>
    <x v="1"/>
    <x v="1"/>
    <s v="Sucata"/>
    <n v="139577"/>
    <n v="1701"/>
  </r>
  <r>
    <n v="6980"/>
    <s v="Pirelli"/>
    <s v="MC01"/>
    <n v="3116"/>
    <n v="115723"/>
    <s v="Liso"/>
    <n v="89967"/>
    <s v="BusPlus"/>
    <s v="Liso"/>
    <n v="16726"/>
    <x v="0"/>
    <x v="3"/>
    <s v="Sucata"/>
    <n v="222416"/>
    <n v="1701"/>
  </r>
  <r>
    <n v="6981"/>
    <s v="Pirelli"/>
    <s v="MC01"/>
    <n v="3116"/>
    <n v="130131"/>
    <s v="Liso"/>
    <n v="55699"/>
    <s v="DVR-M"/>
    <s v="Infiltração"/>
    <m/>
    <x v="1"/>
    <x v="1"/>
    <s v="Sucata"/>
    <n v="185830"/>
    <n v="1701"/>
  </r>
  <r>
    <n v="6982"/>
    <s v="Pirelli"/>
    <s v="MC01"/>
    <n v="3116"/>
    <n v="122553"/>
    <s v="Liso"/>
    <n v="93038"/>
    <s v="DVR-M"/>
    <s v="s/ dados"/>
    <m/>
    <x v="1"/>
    <x v="1"/>
    <m/>
    <n v="215591"/>
    <n v="1701"/>
  </r>
  <r>
    <n v="6983"/>
    <s v="Pirelli"/>
    <s v="MC01"/>
    <n v="3116"/>
    <n v="118259"/>
    <s v="Liso"/>
    <m/>
    <m/>
    <s v="Infiltração"/>
    <m/>
    <x v="1"/>
    <x v="1"/>
    <s v="Sucata"/>
    <n v="118259"/>
    <n v="1701"/>
  </r>
  <r>
    <n v="6984"/>
    <s v="Pirelli"/>
    <s v="MC01"/>
    <n v="2916"/>
    <n v="124113"/>
    <s v="Liso"/>
    <m/>
    <m/>
    <s v="Infiltração"/>
    <m/>
    <x v="1"/>
    <x v="1"/>
    <s v="Sucata"/>
    <n v="124113"/>
    <n v="1701"/>
  </r>
  <r>
    <n v="6985"/>
    <s v="Pirelli"/>
    <s v="MC01"/>
    <n v="2916"/>
    <n v="126296"/>
    <s v="Liso"/>
    <n v="27670"/>
    <s v="DVR-M"/>
    <s v="Infiltração"/>
    <m/>
    <x v="1"/>
    <x v="1"/>
    <s v="Sucata"/>
    <n v="153966"/>
    <n v="1701"/>
  </r>
  <r>
    <n v="6986"/>
    <s v="Pirelli"/>
    <s v="MC01"/>
    <n v="2916"/>
    <n v="140148"/>
    <s v="Liso"/>
    <n v="23700"/>
    <s v="DVR-M"/>
    <s v="s/ dados"/>
    <m/>
    <x v="1"/>
    <x v="1"/>
    <m/>
    <n v="163848"/>
    <n v="1701"/>
  </r>
  <r>
    <n v="6987"/>
    <s v="Pirelli"/>
    <s v="MC01"/>
    <n v="2916"/>
    <n v="105617"/>
    <s v="Liso"/>
    <n v="71643"/>
    <s v="DVR-M"/>
    <s v="Furado"/>
    <m/>
    <x v="1"/>
    <x v="1"/>
    <s v="Sucata"/>
    <n v="177260"/>
    <n v="1701"/>
  </r>
  <r>
    <n v="6988"/>
    <s v="Pirelli"/>
    <s v="MC01"/>
    <n v="3116"/>
    <n v="86503"/>
    <s v="Infiltração"/>
    <m/>
    <m/>
    <m/>
    <m/>
    <x v="1"/>
    <x v="1"/>
    <s v="Sucata"/>
    <n v="86503"/>
    <n v="1701"/>
  </r>
  <r>
    <n v="6989"/>
    <s v="Pirelli"/>
    <s v="MC01"/>
    <n v="2716"/>
    <n v="110121"/>
    <s v="Liso"/>
    <n v="54562"/>
    <s v="DVR-M"/>
    <s v="Infiltração"/>
    <m/>
    <x v="1"/>
    <x v="1"/>
    <s v="Sucata"/>
    <n v="164683"/>
    <n v="1701"/>
  </r>
  <r>
    <n v="7004"/>
    <s v="Pirelli"/>
    <s v="FR01"/>
    <n v="416"/>
    <n v="82182"/>
    <s v="Liso"/>
    <n v="95643"/>
    <s v="DVR-M"/>
    <s v="Liso"/>
    <m/>
    <x v="1"/>
    <x v="1"/>
    <s v="Sucata"/>
    <n v="177825"/>
    <n v="1603"/>
  </r>
  <r>
    <n v="7005"/>
    <s v="Pirelli"/>
    <s v="FR01"/>
    <n v="4516"/>
    <n v="64731"/>
    <s v="Liso"/>
    <n v="61940"/>
    <s v="DVR-M"/>
    <s v="Furado"/>
    <n v="48845"/>
    <x v="4"/>
    <x v="3"/>
    <s v="Sucata"/>
    <n v="175516"/>
    <n v="1603"/>
  </r>
  <r>
    <n v="7006"/>
    <s v="Pirelli"/>
    <s v="FR01"/>
    <n v="4516"/>
    <n v="50050"/>
    <s v="Furado"/>
    <n v="105910"/>
    <s v="DVR-M"/>
    <s v="Liso"/>
    <n v="14098"/>
    <x v="0"/>
    <x v="4"/>
    <m/>
    <n v="170058"/>
    <n v="1603"/>
  </r>
  <r>
    <n v="7007"/>
    <s v="Pirelli"/>
    <s v="FR01"/>
    <n v="4516"/>
    <n v="56569"/>
    <s v="Liso"/>
    <n v="79330"/>
    <s v="DVR-M"/>
    <s v="Infiltração"/>
    <m/>
    <x v="1"/>
    <x v="1"/>
    <s v="Sucata"/>
    <n v="135899"/>
    <n v="1603"/>
  </r>
  <r>
    <n v="7018"/>
    <s v="Pirelli"/>
    <s v="FR01"/>
    <n v="4616"/>
    <n v="72081"/>
    <s v="Liso"/>
    <n v="121556"/>
    <s v="DVR-M"/>
    <s v="Liso"/>
    <n v="32467"/>
    <x v="0"/>
    <x v="4"/>
    <m/>
    <n v="226104"/>
    <n v="1603"/>
  </r>
  <r>
    <n v="7019"/>
    <s v="Pirelli"/>
    <s v="FR01"/>
    <n v="4616"/>
    <n v="53342"/>
    <s v="Desg. Irregular"/>
    <n v="95257"/>
    <s v="DVR-M"/>
    <s v="s/ dados"/>
    <m/>
    <x v="1"/>
    <x v="1"/>
    <m/>
    <n v="148599"/>
    <n v="1603"/>
  </r>
  <r>
    <n v="7020"/>
    <s v="Pirelli"/>
    <s v="FR01"/>
    <n v="4616"/>
    <n v="79152"/>
    <s v="Liso"/>
    <n v="93680"/>
    <s v="BusPlus"/>
    <s v="Liso"/>
    <m/>
    <x v="1"/>
    <x v="1"/>
    <s v="Sucata"/>
    <n v="172832"/>
    <n v="1603"/>
  </r>
  <r>
    <n v="7021"/>
    <s v="Pirelli"/>
    <s v="FR01"/>
    <n v="4616"/>
    <n v="93560"/>
    <s v="Liso"/>
    <n v="74029"/>
    <s v="DVR-M"/>
    <s v="Infiltração"/>
    <m/>
    <x v="1"/>
    <x v="1"/>
    <s v="Sucata"/>
    <n v="167589"/>
    <n v="1603"/>
  </r>
  <r>
    <n v="7044"/>
    <s v="Michelin"/>
    <s v="X-incity"/>
    <n v="3115"/>
    <n v="104174"/>
    <s v="Liso"/>
    <n v="44544"/>
    <s v="BusPlus"/>
    <s v="Furado"/>
    <m/>
    <x v="1"/>
    <x v="1"/>
    <s v="Sucata"/>
    <n v="148718"/>
    <n v="1586"/>
  </r>
  <r>
    <n v="7045"/>
    <s v="Michelin"/>
    <s v="X-incity"/>
    <n v="3316"/>
    <n v="104174"/>
    <s v="Liso"/>
    <n v="124466"/>
    <s v="BusPlus"/>
    <s v="Liso"/>
    <n v="32467"/>
    <x v="5"/>
    <x v="4"/>
    <m/>
    <n v="261107"/>
    <n v="1586"/>
  </r>
  <r>
    <n v="7046"/>
    <s v="Michelin"/>
    <s v="X-incity"/>
    <n v="2115"/>
    <n v="117604"/>
    <s v="Liso"/>
    <n v="63404"/>
    <s v="X-Incity"/>
    <s v="s/ dados"/>
    <m/>
    <x v="1"/>
    <x v="1"/>
    <m/>
    <n v="181008"/>
    <n v="1586"/>
  </r>
  <r>
    <n v="7047"/>
    <s v="Michelin"/>
    <s v="X-incity"/>
    <n v="2115"/>
    <n v="117604"/>
    <s v="Liso"/>
    <n v="110041"/>
    <s v="X-Incity"/>
    <s v="Liso"/>
    <m/>
    <x v="1"/>
    <x v="1"/>
    <s v="Sucata"/>
    <n v="227645"/>
    <n v="1586"/>
  </r>
  <r>
    <n v="7048"/>
    <s v="Michelin"/>
    <s v="X-incity"/>
    <n v="3316"/>
    <n v="87550"/>
    <s v="Liso"/>
    <n v="120618"/>
    <s v="X-Incity"/>
    <s v="Liso"/>
    <n v="91113"/>
    <x v="5"/>
    <x v="3"/>
    <s v="Sucata"/>
    <n v="299281"/>
    <n v="1586"/>
  </r>
  <r>
    <n v="7049"/>
    <s v="Michelin"/>
    <s v="X-incity"/>
    <n v="3316"/>
    <n v="87550"/>
    <s v="Liso"/>
    <n v="111782"/>
    <s v="X-Incity"/>
    <s v="Furado"/>
    <m/>
    <x v="1"/>
    <x v="1"/>
    <s v="Sucata"/>
    <n v="199332"/>
    <n v="1586"/>
  </r>
  <r>
    <n v="7050"/>
    <s v="Michelin"/>
    <s v="X-incity"/>
    <n v="3316"/>
    <n v="114425"/>
    <s v="Liso"/>
    <n v="63404"/>
    <s v="BusPlus"/>
    <s v="s/ dados"/>
    <m/>
    <x v="1"/>
    <x v="1"/>
    <m/>
    <n v="177829"/>
    <n v="1586"/>
  </r>
  <r>
    <n v="7051"/>
    <s v="Michelin"/>
    <s v="X-incity"/>
    <n v="3316"/>
    <n v="114425"/>
    <s v="Liso"/>
    <n v="63404"/>
    <s v="BusPlus"/>
    <s v="s/ dados"/>
    <m/>
    <x v="1"/>
    <x v="1"/>
    <m/>
    <n v="177829"/>
    <n v="1586"/>
  </r>
  <r>
    <n v="7052"/>
    <s v="Michelin"/>
    <s v="X-incity"/>
    <n v="3316"/>
    <n v="96258"/>
    <s v="Liso"/>
    <n v="134863"/>
    <s v="X-Incity"/>
    <s v="Liso"/>
    <m/>
    <x v="1"/>
    <x v="1"/>
    <s v="Sucata"/>
    <n v="231121"/>
    <n v="1586"/>
  </r>
  <r>
    <n v="7053"/>
    <s v="Michelin"/>
    <s v="X-incity"/>
    <n v="3316"/>
    <n v="110166"/>
    <s v="Liso"/>
    <n v="19818"/>
    <s v="DVR-M"/>
    <s v="s/ dados"/>
    <m/>
    <x v="1"/>
    <x v="1"/>
    <m/>
    <n v="129984"/>
    <n v="1586"/>
  </r>
  <r>
    <n v="7074"/>
    <s v="Michelin"/>
    <s v="X-incity"/>
    <n v="3316"/>
    <n v="113217"/>
    <s v="Liso"/>
    <n v="113972"/>
    <s v="X-Incity"/>
    <s v="Liso"/>
    <n v="54843"/>
    <x v="5"/>
    <x v="0"/>
    <s v="Sucata"/>
    <n v="282032"/>
    <n v="1586"/>
  </r>
  <r>
    <n v="7075"/>
    <s v="Michelin"/>
    <s v="X-incity"/>
    <n v="3316"/>
    <n v="113217"/>
    <s v="Liso"/>
    <n v="131859"/>
    <s v="X-Incity"/>
    <s v="Liso"/>
    <n v="14524"/>
    <x v="5"/>
    <x v="3"/>
    <s v="Sucata"/>
    <n v="259600"/>
    <n v="1586"/>
  </r>
  <r>
    <n v="7076"/>
    <s v="Michelin"/>
    <s v="X-incity"/>
    <n v="3316"/>
    <n v="95954"/>
    <s v="Liso"/>
    <m/>
    <s v="X-Incity"/>
    <s v="s/ dados"/>
    <m/>
    <x v="1"/>
    <x v="1"/>
    <m/>
    <n v="95954"/>
    <n v="1586"/>
  </r>
  <r>
    <n v="7077"/>
    <s v="Michelin"/>
    <s v="X-incity"/>
    <n v="3316"/>
    <n v="95954"/>
    <s v="Liso"/>
    <m/>
    <s v="X-Incity"/>
    <s v="s/ dados"/>
    <m/>
    <x v="1"/>
    <x v="1"/>
    <m/>
    <n v="95954"/>
    <n v="1586"/>
  </r>
  <r>
    <n v="7086"/>
    <s v="Michelin"/>
    <s v="X-incity"/>
    <n v="2017"/>
    <n v="94012"/>
    <s v="Liso"/>
    <n v="101439"/>
    <s v="X-Incity"/>
    <s v="s/ dados"/>
    <m/>
    <x v="1"/>
    <x v="1"/>
    <m/>
    <n v="195451"/>
    <n v="1586"/>
  </r>
  <r>
    <n v="7087"/>
    <s v="Michelin"/>
    <s v="X-incity"/>
    <n v="2017"/>
    <n v="94012"/>
    <s v="Liso"/>
    <n v="101439"/>
    <s v="X-Incity"/>
    <s v="s/ dados"/>
    <m/>
    <x v="1"/>
    <x v="1"/>
    <m/>
    <n v="195451"/>
    <n v="1586"/>
  </r>
  <r>
    <n v="7088"/>
    <s v="Michelin"/>
    <s v="X-incity"/>
    <n v="2017"/>
    <n v="93201"/>
    <s v="Liso"/>
    <m/>
    <s v="DVR-M"/>
    <m/>
    <m/>
    <x v="1"/>
    <x v="1"/>
    <n v="19052"/>
    <n v="93201"/>
    <n v="1586"/>
  </r>
  <r>
    <n v="7089"/>
    <s v="Michelin"/>
    <s v="X-incity"/>
    <n v="2017"/>
    <n v="119531"/>
    <s v="Liso"/>
    <n v="115456"/>
    <s v="X-Incity"/>
    <s v="Liso"/>
    <m/>
    <x v="1"/>
    <x v="1"/>
    <s v="Estoque"/>
    <n v="234987"/>
    <n v="1586"/>
  </r>
  <r>
    <n v="7090"/>
    <s v="Michelin"/>
    <s v="X-incity"/>
    <n v="2017"/>
    <n v="97650"/>
    <s v="Liso"/>
    <n v="108327"/>
    <s v="X-Incity"/>
    <s v="s/ dados"/>
    <n v="19275"/>
    <x v="5"/>
    <x v="1"/>
    <m/>
    <n v="225252"/>
    <n v="1586"/>
  </r>
  <r>
    <n v="7091"/>
    <s v="Michelin"/>
    <s v="X-incity"/>
    <n v="1917"/>
    <n v="86449"/>
    <s v="Corte na banda"/>
    <n v="63404"/>
    <s v="X-Incity"/>
    <s v="s/ dados"/>
    <m/>
    <x v="1"/>
    <x v="1"/>
    <m/>
    <n v="149853"/>
    <n v="1586"/>
  </r>
  <r>
    <n v="7092"/>
    <s v="Michelin"/>
    <s v="X-incity"/>
    <n v="1917"/>
    <n v="93902"/>
    <s v="Liso"/>
    <n v="101439"/>
    <s v="X-Incity"/>
    <s v="s/ dados"/>
    <m/>
    <x v="1"/>
    <x v="1"/>
    <m/>
    <n v="195341"/>
    <n v="1586"/>
  </r>
  <r>
    <n v="7093"/>
    <s v="Michelin"/>
    <s v="X-incity"/>
    <n v="1917"/>
    <n v="93902"/>
    <s v="Liso"/>
    <n v="80569"/>
    <s v="X-Incity"/>
    <s v="s/ dados"/>
    <m/>
    <x v="1"/>
    <x v="1"/>
    <m/>
    <n v="174471"/>
    <n v="1586"/>
  </r>
  <r>
    <n v="7094"/>
    <s v="Michelin"/>
    <s v="X-incity"/>
    <n v="1917"/>
    <n v="116909"/>
    <s v="Liso"/>
    <n v="80869"/>
    <s v="X-Incity"/>
    <s v="s/ dados"/>
    <m/>
    <x v="1"/>
    <x v="1"/>
    <m/>
    <n v="197778"/>
    <n v="1586"/>
  </r>
  <r>
    <n v="7095"/>
    <s v="Michelin"/>
    <s v="X-incity"/>
    <n v="1917"/>
    <n v="117369"/>
    <s v="Liso"/>
    <n v="101439"/>
    <s v="X-Incity"/>
    <s v="s/ dados"/>
    <m/>
    <x v="1"/>
    <x v="1"/>
    <m/>
    <n v="218808"/>
    <n v="1586"/>
  </r>
  <r>
    <n v="7100"/>
    <s v="Michelin"/>
    <s v="X-incity"/>
    <n v="2717"/>
    <n v="121031"/>
    <s v="Liso"/>
    <m/>
    <s v="X-Incity"/>
    <s v="s/ dados"/>
    <m/>
    <x v="1"/>
    <x v="1"/>
    <m/>
    <n v="121031"/>
    <n v="1586"/>
  </r>
  <r>
    <n v="7101"/>
    <s v="Michelin"/>
    <s v="X-incity"/>
    <n v="2717"/>
    <n v="121031"/>
    <s v="Liso"/>
    <m/>
    <s v="X-Incity"/>
    <s v="s/ dados"/>
    <m/>
    <x v="1"/>
    <x v="1"/>
    <m/>
    <n v="121031"/>
    <n v="1586"/>
  </r>
  <r>
    <n v="7102"/>
    <s v="Michelin"/>
    <s v="X-incity"/>
    <n v="2717"/>
    <n v="73572"/>
    <s v="Furado"/>
    <m/>
    <m/>
    <m/>
    <m/>
    <x v="1"/>
    <x v="1"/>
    <s v="Sucata"/>
    <n v="73572"/>
    <n v="1586"/>
  </r>
  <r>
    <n v="7103"/>
    <s v="Michelin"/>
    <s v="X-incity"/>
    <n v="2717"/>
    <n v="101192"/>
    <s v="Liso"/>
    <n v="80197"/>
    <s v="X-Incity"/>
    <s v="Furado"/>
    <m/>
    <x v="1"/>
    <x v="1"/>
    <s v="Sucata"/>
    <n v="181389"/>
    <n v="1586"/>
  </r>
  <r>
    <n v="7104"/>
    <s v="Michelin"/>
    <s v="X-incity"/>
    <n v="2717"/>
    <n v="99591"/>
    <s v="Liso"/>
    <n v="134189"/>
    <s v="X-Incity"/>
    <s v="Liso"/>
    <n v="20020"/>
    <x v="5"/>
    <x v="5"/>
    <s v="Sucata"/>
    <n v="253800"/>
    <n v="1586"/>
  </r>
  <r>
    <n v="7105"/>
    <s v="Michelin"/>
    <s v="X-incity"/>
    <n v="2717"/>
    <n v="79549"/>
    <s v="Furado"/>
    <n v="123815"/>
    <s v="X-Incity"/>
    <s v="Liso"/>
    <m/>
    <x v="1"/>
    <x v="1"/>
    <s v="Sucata"/>
    <n v="203364"/>
    <n v="1586"/>
  </r>
  <r>
    <n v="7114"/>
    <s v="Michelin"/>
    <s v="X-incity"/>
    <n v="1917"/>
    <n v="105688"/>
    <s v="Liso"/>
    <n v="84774"/>
    <s v="X-Incity"/>
    <s v="Liso"/>
    <n v="30276"/>
    <x v="5"/>
    <x v="3"/>
    <s v="Sucata"/>
    <n v="220738"/>
    <n v="1586"/>
  </r>
  <r>
    <n v="7115"/>
    <s v="Michelin"/>
    <s v="X-incity"/>
    <n v="2017"/>
    <n v="105688"/>
    <s v="Liso"/>
    <m/>
    <s v="X-Incity"/>
    <s v="s/ dados"/>
    <m/>
    <x v="1"/>
    <x v="1"/>
    <m/>
    <n v="105688"/>
    <n v="1586"/>
  </r>
  <r>
    <n v="7134"/>
    <s v="Michelin"/>
    <s v="X-incity"/>
    <n v="2717"/>
    <n v="94274"/>
    <s v="Liso"/>
    <n v="101439"/>
    <s v="X-Incity"/>
    <s v="Liso"/>
    <n v="66830"/>
    <x v="5"/>
    <x v="0"/>
    <s v="Conserto"/>
    <n v="262543"/>
    <n v="1586"/>
  </r>
  <r>
    <n v="7135"/>
    <s v="Michelin"/>
    <s v="X-incity"/>
    <n v="2717"/>
    <n v="94274"/>
    <s v="Liso"/>
    <n v="75577"/>
    <s v="X-Incity"/>
    <s v="Infiltração"/>
    <m/>
    <x v="1"/>
    <x v="1"/>
    <s v="Sucata"/>
    <n v="169851"/>
    <n v="1586"/>
  </r>
  <r>
    <n v="7136"/>
    <s v="Michelin"/>
    <s v="X-incity"/>
    <n v="2717"/>
    <n v="109731"/>
    <s v="Liso"/>
    <n v="62977"/>
    <s v="X-Incity"/>
    <s v="Infiltração"/>
    <m/>
    <x v="1"/>
    <x v="1"/>
    <s v="Sucata"/>
    <n v="172708"/>
    <n v="1586"/>
  </r>
  <r>
    <n v="7137"/>
    <s v="Michelin"/>
    <s v="X-incity"/>
    <n v="2717"/>
    <n v="97650"/>
    <s v="Liso"/>
    <n v="142305"/>
    <s v="X-Incity"/>
    <s v="Liso"/>
    <n v="47000"/>
    <x v="5"/>
    <x v="1"/>
    <n v="19053"/>
    <n v="286955"/>
    <n v="1586"/>
  </r>
  <r>
    <n v="7138"/>
    <s v="Michelin"/>
    <s v="X-incity"/>
    <n v="3717"/>
    <n v="103332"/>
    <s v="Liso"/>
    <n v="115598"/>
    <s v="X-Incity"/>
    <s v="Liso"/>
    <m/>
    <x v="4"/>
    <x v="1"/>
    <n v="19056"/>
    <n v="218930"/>
    <n v="1586"/>
  </r>
  <r>
    <n v="7139"/>
    <s v="Michelin"/>
    <s v="X-incity"/>
    <n v="3717"/>
    <n v="54199"/>
    <s v="Furado"/>
    <m/>
    <m/>
    <m/>
    <m/>
    <x v="1"/>
    <x v="1"/>
    <s v="Sucata"/>
    <n v="54199"/>
    <n v="1586"/>
  </r>
  <r>
    <n v="7140"/>
    <s v="Michelin"/>
    <s v="X-incity"/>
    <n v="3717"/>
    <n v="110340"/>
    <s v="Liso"/>
    <n v="58912"/>
    <s v="X-Incity"/>
    <s v="Furado"/>
    <m/>
    <x v="1"/>
    <x v="1"/>
    <s v="Sucata"/>
    <n v="169252"/>
    <n v="1586"/>
  </r>
  <r>
    <n v="7141"/>
    <s v="Michelin"/>
    <s v="X-incity"/>
    <n v="3717"/>
    <n v="113775"/>
    <s v="Liso"/>
    <n v="75063"/>
    <s v="X-Incity"/>
    <s v="Infiltração"/>
    <m/>
    <x v="1"/>
    <x v="1"/>
    <s v="Sucata"/>
    <n v="188838"/>
    <n v="1586"/>
  </r>
  <r>
    <n v="7142"/>
    <s v="Michelin"/>
    <s v="X-incity"/>
    <n v="3717"/>
    <n v="85490"/>
    <s v="Liso"/>
    <n v="115902"/>
    <s v="X-Incity"/>
    <s v="Liso"/>
    <m/>
    <x v="5"/>
    <x v="1"/>
    <n v="8002"/>
    <n v="201392"/>
    <n v="1586"/>
  </r>
  <r>
    <n v="7143"/>
    <s v="Michelin"/>
    <s v="X-incity"/>
    <n v="3717"/>
    <n v="99298"/>
    <s v="Liso"/>
    <n v="84774"/>
    <s v="X-Incity"/>
    <s v="Liso"/>
    <n v="38567"/>
    <x v="5"/>
    <x v="3"/>
    <s v="Sucata"/>
    <n v="222639"/>
    <n v="1586"/>
  </r>
  <r>
    <n v="7144"/>
    <s v="Michelin"/>
    <s v="X-incity"/>
    <n v="3717"/>
    <n v="109731"/>
    <s v="Liso"/>
    <n v="80569"/>
    <s v="X-Incity"/>
    <s v="s/ dados"/>
    <m/>
    <x v="1"/>
    <x v="1"/>
    <m/>
    <n v="190300"/>
    <n v="1617"/>
  </r>
  <r>
    <n v="7187"/>
    <s v="Pirelli"/>
    <s v="MC01"/>
    <n v="318"/>
    <n v="56328"/>
    <s v="s/ dados"/>
    <m/>
    <m/>
    <m/>
    <m/>
    <x v="1"/>
    <x v="1"/>
    <m/>
    <n v="56328"/>
    <n v="1617"/>
  </r>
  <r>
    <n v="7188"/>
    <s v="Pirelli"/>
    <s v="MC01"/>
    <n v="318"/>
    <n v="56328"/>
    <s v="s/ dados"/>
    <m/>
    <m/>
    <m/>
    <m/>
    <x v="1"/>
    <x v="1"/>
    <m/>
    <n v="56328"/>
    <n v="1617"/>
  </r>
  <r>
    <n v="7189"/>
    <s v="Pirelli"/>
    <s v="MC01"/>
    <n v="318"/>
    <n v="38110"/>
    <s v="s/ dados"/>
    <m/>
    <m/>
    <m/>
    <m/>
    <x v="1"/>
    <x v="1"/>
    <m/>
    <n v="38110"/>
    <n v="1617"/>
  </r>
  <r>
    <n v="7190"/>
    <s v="Pirelli"/>
    <s v="MC01"/>
    <n v="318"/>
    <n v="70135"/>
    <s v="Liso"/>
    <n v="32467"/>
    <s v="DVR-M"/>
    <s v="s/ dados"/>
    <m/>
    <x v="1"/>
    <x v="1"/>
    <m/>
    <n v="102602"/>
    <n v="1617"/>
  </r>
  <r>
    <n v="7191"/>
    <s v="Pirelli"/>
    <s v="MC01"/>
    <n v="818"/>
    <n v="83962"/>
    <s v="Liso"/>
    <n v="19818"/>
    <s v="DVR-M"/>
    <s v="s/ dados"/>
    <m/>
    <x v="1"/>
    <x v="1"/>
    <m/>
    <n v="103780"/>
    <n v="1617"/>
  </r>
  <r>
    <n v="7192"/>
    <s v="Pirelli"/>
    <s v="MC01"/>
    <n v="818"/>
    <n v="83962"/>
    <s v="Liso"/>
    <n v="19818"/>
    <s v="DVR-M"/>
    <s v="s/ dados"/>
    <m/>
    <x v="1"/>
    <x v="1"/>
    <m/>
    <n v="103780"/>
    <n v="1617"/>
  </r>
  <r>
    <n v="7193"/>
    <s v="Pirelli"/>
    <s v="MC01"/>
    <n v="818"/>
    <n v="70439"/>
    <s v="Liso"/>
    <n v="83619"/>
    <s v="DVR-M"/>
    <s v="Liso"/>
    <n v="28182"/>
    <x v="0"/>
    <x v="3"/>
    <s v="Sucata"/>
    <n v="182240"/>
    <n v="1617"/>
  </r>
  <r>
    <n v="7194"/>
    <s v="Pirelli"/>
    <s v="FR01"/>
    <n v="3217"/>
    <n v="56631"/>
    <s v="Furado"/>
    <m/>
    <m/>
    <m/>
    <m/>
    <x v="1"/>
    <x v="1"/>
    <s v="Sucata"/>
    <n v="56631"/>
    <n v="1706"/>
  </r>
  <r>
    <n v="7195"/>
    <s v="Pirelli"/>
    <s v="FR01"/>
    <n v="3217"/>
    <n v="71065"/>
    <s v="Liso"/>
    <n v="14346"/>
    <s v="DVR-M"/>
    <s v="s/ dados"/>
    <m/>
    <x v="1"/>
    <x v="1"/>
    <m/>
    <n v="85411"/>
    <n v="1706"/>
  </r>
  <r>
    <n v="7196"/>
    <s v="Pirelli"/>
    <s v="FR01"/>
    <n v="3217"/>
    <n v="71603"/>
    <s v="Liso"/>
    <n v="68311"/>
    <s v="DVR-M"/>
    <s v="Liso"/>
    <n v="36583"/>
    <x v="0"/>
    <x v="1"/>
    <s v="Sucata"/>
    <n v="176497"/>
    <n v="1706"/>
  </r>
  <r>
    <n v="7197"/>
    <s v="Pirelli"/>
    <s v="FR01"/>
    <n v="3217"/>
    <n v="23700"/>
    <s v="Liso"/>
    <m/>
    <s v="DVR-M"/>
    <s v="s/ dados"/>
    <m/>
    <x v="1"/>
    <x v="1"/>
    <m/>
    <n v="23700"/>
    <n v="1706"/>
  </r>
  <r>
    <n v="7198"/>
    <s v="Pirelli"/>
    <s v="FR01"/>
    <n v="3217"/>
    <n v="78985"/>
    <s v="Liso"/>
    <n v="14346"/>
    <s v="DVR-M"/>
    <s v="s/ dados"/>
    <m/>
    <x v="1"/>
    <x v="1"/>
    <m/>
    <n v="93331"/>
    <n v="1706"/>
  </r>
  <r>
    <n v="7215"/>
    <s v="Pirelli"/>
    <s v="FR01"/>
    <n v="818"/>
    <n v="84679"/>
    <s v="Liso"/>
    <n v="67610"/>
    <s v="DVR-M"/>
    <s v="Liso"/>
    <n v="31219"/>
    <x v="0"/>
    <x v="5"/>
    <s v="Sucata"/>
    <n v="183508"/>
    <n v="1706"/>
  </r>
  <r>
    <n v="7216"/>
    <s v="Pirelli"/>
    <s v="FR01"/>
    <n v="218"/>
    <n v="97931"/>
    <s v="Liso"/>
    <n v="76719"/>
    <s v="DVR-M"/>
    <s v="Liso"/>
    <m/>
    <x v="1"/>
    <x v="1"/>
    <s v="Sucata"/>
    <n v="174650"/>
    <n v="1706"/>
  </r>
  <r>
    <n v="7217"/>
    <s v="Pirelli"/>
    <s v="FR01"/>
    <n v="218"/>
    <n v="120736"/>
    <s v="Liso"/>
    <n v="52062"/>
    <s v="DVR-M"/>
    <s v="Liso"/>
    <n v="28182"/>
    <x v="0"/>
    <x v="3"/>
    <s v="Sucata"/>
    <n v="200980"/>
    <n v="1706"/>
  </r>
  <r>
    <n v="7218"/>
    <s v="Pirelli"/>
    <s v="FR01"/>
    <n v="218"/>
    <n v="120736"/>
    <s v="Liso"/>
    <n v="26254"/>
    <s v="DVR-M"/>
    <s v="Infiltração"/>
    <m/>
    <x v="1"/>
    <x v="1"/>
    <s v="Sucata"/>
    <n v="146990"/>
    <n v="1706"/>
  </r>
  <r>
    <n v="7219"/>
    <s v="Pirelli"/>
    <s v="FR01"/>
    <n v="218"/>
    <n v="61303"/>
    <s v="Furado"/>
    <m/>
    <m/>
    <m/>
    <m/>
    <x v="1"/>
    <x v="1"/>
    <s v="Sucata"/>
    <n v="61303"/>
    <n v="1706"/>
  </r>
  <r>
    <n v="7220"/>
    <s v="Pirelli"/>
    <s v="FR01"/>
    <n v="218"/>
    <n v="119620"/>
    <s v="Liso"/>
    <n v="2620"/>
    <s v="DVR-M"/>
    <m/>
    <m/>
    <x v="1"/>
    <x v="1"/>
    <m/>
    <n v="122240"/>
    <n v="1706"/>
  </r>
  <r>
    <n v="7221"/>
    <s v="Pirelli"/>
    <s v="FR01"/>
    <n v="1018"/>
    <n v="122504"/>
    <s v="Liso"/>
    <n v="57536"/>
    <s v="DVR-M"/>
    <s v="Liso"/>
    <n v="34940"/>
    <x v="0"/>
    <x v="2"/>
    <s v="Estoque"/>
    <n v="214980"/>
    <n v="1706"/>
  </r>
  <r>
    <n v="7222"/>
    <s v="Pirelli"/>
    <s v="FR01"/>
    <n v="1018"/>
    <n v="72730"/>
    <s v="Furado"/>
    <m/>
    <m/>
    <m/>
    <m/>
    <x v="1"/>
    <x v="1"/>
    <m/>
    <n v="72730"/>
    <n v="1706"/>
  </r>
  <r>
    <n v="7223"/>
    <s v="Pirelli"/>
    <s v="FR01"/>
    <n v="1018"/>
    <n v="109572"/>
    <s v="Liso"/>
    <n v="77313"/>
    <s v="DVR-M"/>
    <s v="Liso"/>
    <n v="22093"/>
    <x v="0"/>
    <x v="3"/>
    <s v="Sucata"/>
    <n v="208978"/>
    <n v="1706"/>
  </r>
  <r>
    <n v="7224"/>
    <s v="Pirelli"/>
    <s v="FR01"/>
    <n v="1318"/>
    <n v="109572"/>
    <s v="Liso"/>
    <n v="72852"/>
    <s v="DVR-M"/>
    <s v="Liso"/>
    <m/>
    <x v="0"/>
    <x v="1"/>
    <n v="19053"/>
    <n v="182424"/>
    <n v="1706"/>
  </r>
  <r>
    <n v="7225"/>
    <s v="Pirelli"/>
    <s v="FR01"/>
    <n v="1318"/>
    <n v="69976"/>
    <s v="s/ dados"/>
    <m/>
    <m/>
    <m/>
    <m/>
    <x v="1"/>
    <x v="1"/>
    <m/>
    <n v="69976"/>
    <n v="1706"/>
  </r>
  <r>
    <n v="7226"/>
    <s v="Pirelli"/>
    <s v="FR01"/>
    <n v="1318"/>
    <n v="69976"/>
    <s v="s/ dados"/>
    <m/>
    <m/>
    <m/>
    <m/>
    <x v="1"/>
    <x v="1"/>
    <m/>
    <n v="69976"/>
    <n v="1706"/>
  </r>
  <r>
    <n v="7227"/>
    <s v="Pirelli"/>
    <s v="FR01"/>
    <n v="1118"/>
    <n v="81818"/>
    <s v="Desg. Irregular"/>
    <n v="44877"/>
    <s v="DVR-M"/>
    <s v="Garantia"/>
    <m/>
    <x v="1"/>
    <x v="1"/>
    <s v="Sucata"/>
    <n v="126695"/>
    <n v="1706"/>
  </r>
  <r>
    <n v="7228"/>
    <s v="Pirelli"/>
    <s v="FR01"/>
    <n v="1418"/>
    <n v="86077"/>
    <s v="Liso"/>
    <n v="2914"/>
    <s v="DVR-M"/>
    <s v="s/ dados"/>
    <m/>
    <x v="1"/>
    <x v="1"/>
    <m/>
    <n v="88991"/>
    <n v="1706"/>
  </r>
  <r>
    <n v="7245"/>
    <s v="Pirelli"/>
    <s v="MC01"/>
    <n v="1918"/>
    <n v="121944"/>
    <s v="Liso"/>
    <n v="56305"/>
    <s v="DVR-M"/>
    <s v="Infiltração"/>
    <m/>
    <x v="1"/>
    <x v="1"/>
    <s v="Sucata"/>
    <n v="178249"/>
    <n v="1706"/>
  </r>
  <r>
    <n v="7246"/>
    <s v="Pirelli"/>
    <s v="MC01"/>
    <n v="1918"/>
    <n v="121944"/>
    <s v="Liso"/>
    <n v="59181"/>
    <s v="DVR-M"/>
    <s v="Furado"/>
    <m/>
    <x v="1"/>
    <x v="1"/>
    <s v="Sucata"/>
    <n v="181125"/>
    <n v="1706"/>
  </r>
  <r>
    <n v="7247"/>
    <s v="Pirelli"/>
    <s v="MC01"/>
    <n v="1918"/>
    <n v="30940"/>
    <s v="s/ dados"/>
    <m/>
    <m/>
    <m/>
    <m/>
    <x v="1"/>
    <x v="1"/>
    <m/>
    <n v="30940"/>
    <n v="1706"/>
  </r>
  <r>
    <n v="7248"/>
    <s v="Pirelli"/>
    <s v="MC01"/>
    <n v="1918"/>
    <n v="30940"/>
    <s v="s/ dados"/>
    <m/>
    <m/>
    <m/>
    <m/>
    <x v="1"/>
    <x v="1"/>
    <m/>
    <n v="30940"/>
    <n v="1706"/>
  </r>
  <r>
    <n v="7255"/>
    <s v="Pirelli"/>
    <s v="MC01"/>
    <n v="2718"/>
    <n v="112115"/>
    <s v="Liso"/>
    <n v="2914"/>
    <s v="DVR-M"/>
    <s v="s/ dados"/>
    <m/>
    <x v="1"/>
    <x v="1"/>
    <m/>
    <n v="115029"/>
    <n v="1454"/>
  </r>
  <r>
    <n v="7256"/>
    <s v="Pirelli"/>
    <s v="MC01"/>
    <n v="2718"/>
    <n v="112115"/>
    <s v="Liso"/>
    <n v="2620"/>
    <s v="DVR-M"/>
    <s v="s/ dados"/>
    <m/>
    <x v="1"/>
    <x v="1"/>
    <m/>
    <n v="114735"/>
    <n v="1454"/>
  </r>
  <r>
    <n v="7257"/>
    <s v="Pirelli"/>
    <s v="MC01"/>
    <n v="3318"/>
    <n v="31742"/>
    <s v="s/ dados"/>
    <m/>
    <m/>
    <m/>
    <m/>
    <x v="1"/>
    <x v="1"/>
    <m/>
    <n v="31742"/>
    <n v="1454"/>
  </r>
  <r>
    <n v="7258"/>
    <s v="Pirelli"/>
    <s v="MC01"/>
    <n v="2718"/>
    <n v="31742"/>
    <s v="s/ dados"/>
    <m/>
    <m/>
    <m/>
    <m/>
    <x v="1"/>
    <x v="1"/>
    <m/>
    <n v="31742"/>
    <n v="1454"/>
  </r>
  <r>
    <n v="7259"/>
    <s v="Pirelli"/>
    <s v="MC01"/>
    <n v="2718"/>
    <n v="100234"/>
    <s v="Furado"/>
    <n v="70037"/>
    <s v="DVR-M"/>
    <s v="Liso"/>
    <n v="44979"/>
    <x v="0"/>
    <x v="2"/>
    <s v="Sucata"/>
    <n v="215250"/>
    <n v="1454"/>
  </r>
  <r>
    <n v="7260"/>
    <s v="Pirelli"/>
    <s v="MC01"/>
    <n v="2718"/>
    <n v="14035"/>
    <s v="s/ dados"/>
    <m/>
    <m/>
    <m/>
    <m/>
    <x v="1"/>
    <x v="1"/>
    <m/>
    <n v="14035"/>
    <n v="1454"/>
  </r>
  <r>
    <n v="7261"/>
    <s v="Pirelli"/>
    <s v="MC01"/>
    <n v="3118"/>
    <n v="40446"/>
    <s v="s/ dados"/>
    <m/>
    <m/>
    <m/>
    <m/>
    <x v="1"/>
    <x v="1"/>
    <m/>
    <n v="40446"/>
    <n v="1454"/>
  </r>
  <r>
    <n v="7262"/>
    <s v="Pirelli"/>
    <s v="MC01"/>
    <n v="2718"/>
    <n v="40446"/>
    <s v="s/ dados"/>
    <m/>
    <m/>
    <m/>
    <m/>
    <x v="1"/>
    <x v="1"/>
    <m/>
    <n v="40446"/>
    <n v="1454"/>
  </r>
  <r>
    <n v="7275"/>
    <s v="Pirelli"/>
    <s v="MC01"/>
    <n v="3918"/>
    <n v="35687"/>
    <s v="s/ dados"/>
    <m/>
    <m/>
    <m/>
    <m/>
    <x v="1"/>
    <x v="1"/>
    <m/>
    <n v="35687"/>
    <n v="1454"/>
  </r>
  <r>
    <n v="7276"/>
    <s v="Pirelli"/>
    <s v="MC01"/>
    <n v="3918"/>
    <n v="35687"/>
    <s v="s/ dados"/>
    <m/>
    <m/>
    <m/>
    <m/>
    <x v="1"/>
    <x v="1"/>
    <m/>
    <n v="35687"/>
    <n v="1454"/>
  </r>
  <r>
    <n v="7277"/>
    <s v="Pirelli"/>
    <s v="MC01"/>
    <n v="3918"/>
    <n v="34038"/>
    <s v="s/ dados"/>
    <m/>
    <m/>
    <m/>
    <m/>
    <x v="1"/>
    <x v="1"/>
    <m/>
    <n v="34038"/>
    <n v="1454"/>
  </r>
  <r>
    <n v="7278"/>
    <s v="Pirelli"/>
    <s v="MC01"/>
    <n v="3918"/>
    <n v="34038"/>
    <s v="s/ dados"/>
    <m/>
    <m/>
    <m/>
    <m/>
    <x v="1"/>
    <x v="1"/>
    <m/>
    <n v="34038"/>
    <n v="1454"/>
  </r>
  <r>
    <n v="7279"/>
    <s v="Pirelli"/>
    <s v="MC01"/>
    <n v="3918"/>
    <n v="106649"/>
    <s v="Liso"/>
    <m/>
    <m/>
    <s v="Infiltração"/>
    <m/>
    <x v="1"/>
    <x v="1"/>
    <s v="Sucata"/>
    <n v="106649"/>
    <n v="1454"/>
  </r>
  <r>
    <n v="7280"/>
    <s v="Pirelli"/>
    <s v="MC01"/>
    <n v="3918"/>
    <n v="23978"/>
    <s v="s/ dados"/>
    <m/>
    <m/>
    <m/>
    <m/>
    <x v="1"/>
    <x v="1"/>
    <m/>
    <n v="23978"/>
    <n v="1454"/>
  </r>
  <r>
    <n v="7281"/>
    <s v="Pirelli"/>
    <s v="MC01"/>
    <n v="3918"/>
    <n v="5765"/>
    <s v="Furado"/>
    <m/>
    <m/>
    <m/>
    <m/>
    <x v="1"/>
    <x v="1"/>
    <s v="Sucata"/>
    <n v="5765"/>
    <n v="1454"/>
  </r>
  <r>
    <n v="7282"/>
    <s v="Pirelli"/>
    <s v="MC01"/>
    <n v="3918"/>
    <n v="98201"/>
    <s v="Liso"/>
    <n v="51441"/>
    <s v="DVR-M"/>
    <m/>
    <m/>
    <x v="1"/>
    <x v="1"/>
    <s v="Estoque"/>
    <n v="149642"/>
    <n v="1454"/>
  </r>
  <r>
    <n v="7289"/>
    <s v="Michelin"/>
    <s v="X-incity"/>
    <n v="3818"/>
    <n v="84283"/>
    <s v="Liso"/>
    <n v="104820"/>
    <s v="X-Incity"/>
    <s v="Liso"/>
    <m/>
    <x v="4"/>
    <x v="1"/>
    <n v="19056"/>
    <n v="189103"/>
    <n v="1635"/>
  </r>
  <r>
    <n v="7290"/>
    <s v="Michelin"/>
    <s v="X-incity"/>
    <n v="3818"/>
    <n v="80224"/>
    <s v="Liso"/>
    <m/>
    <m/>
    <s v="Infiltração"/>
    <m/>
    <x v="1"/>
    <x v="1"/>
    <s v="Sucata"/>
    <n v="80224"/>
    <n v="1635"/>
  </r>
  <r>
    <n v="7291"/>
    <s v="Michelin"/>
    <s v="X-incity"/>
    <n v="3818"/>
    <n v="40328"/>
    <s v="s/ dados"/>
    <m/>
    <m/>
    <m/>
    <m/>
    <x v="1"/>
    <x v="1"/>
    <m/>
    <n v="40328"/>
    <n v="1635"/>
  </r>
  <r>
    <n v="7292"/>
    <s v="Michelin"/>
    <s v="X-incity"/>
    <n v="3818"/>
    <n v="40328"/>
    <s v="s/ dados"/>
    <m/>
    <m/>
    <m/>
    <m/>
    <x v="1"/>
    <x v="1"/>
    <m/>
    <n v="40328"/>
    <n v="1635"/>
  </r>
  <r>
    <n v="7303"/>
    <s v="Michelin"/>
    <s v="X-incity"/>
    <n v="3118"/>
    <n v="73128"/>
    <s v="Liso"/>
    <n v="108852"/>
    <s v="X-Incity"/>
    <s v="Liso"/>
    <m/>
    <x v="1"/>
    <x v="1"/>
    <s v="Sucata"/>
    <n v="181980"/>
    <n v="1635"/>
  </r>
  <r>
    <n v="7304"/>
    <s v="Michelin"/>
    <s v="X-incity"/>
    <n v="3118"/>
    <n v="73128"/>
    <s v="Liso"/>
    <n v="120966"/>
    <s v="X-Incity"/>
    <s v="Liso"/>
    <m/>
    <x v="1"/>
    <x v="1"/>
    <n v="19054"/>
    <n v="194094"/>
    <n v="1635"/>
  </r>
  <r>
    <n v="7305"/>
    <s v="Michelin"/>
    <s v="X-incity"/>
    <n v="3118"/>
    <n v="74139"/>
    <s v="Liso"/>
    <n v="132491"/>
    <s v="X-Incity"/>
    <s v="Liso"/>
    <m/>
    <x v="1"/>
    <x v="1"/>
    <s v="Sucata"/>
    <n v="206630"/>
    <n v="1635"/>
  </r>
  <r>
    <n v="7306"/>
    <s v="Michelin"/>
    <s v="X-incity"/>
    <n v="3118"/>
    <n v="77279"/>
    <s v="s/ dados"/>
    <m/>
    <m/>
    <m/>
    <m/>
    <x v="1"/>
    <x v="1"/>
    <m/>
    <n v="77279"/>
    <n v="1635"/>
  </r>
  <r>
    <n v="7307"/>
    <s v="Michelin"/>
    <s v="X-incity"/>
    <n v="3118"/>
    <n v="27954"/>
    <s v="s/ dados"/>
    <m/>
    <m/>
    <m/>
    <m/>
    <x v="1"/>
    <x v="1"/>
    <m/>
    <n v="27954"/>
    <n v="1635"/>
  </r>
  <r>
    <n v="7308"/>
    <s v="Michelin"/>
    <s v="X-incity"/>
    <n v="3118"/>
    <n v="27954"/>
    <s v="s/ dados"/>
    <m/>
    <m/>
    <m/>
    <m/>
    <x v="1"/>
    <x v="1"/>
    <m/>
    <n v="27954"/>
    <n v="1635"/>
  </r>
  <r>
    <n v="7309"/>
    <s v="Michelin"/>
    <s v="X-incity"/>
    <n v="2918"/>
    <n v="78236"/>
    <s v="Liso"/>
    <m/>
    <s v="X-Incity"/>
    <s v="s/ dados"/>
    <m/>
    <x v="1"/>
    <x v="1"/>
    <n v="9004"/>
    <n v="78236"/>
    <n v="1635"/>
  </r>
  <r>
    <n v="7310"/>
    <s v="Michelin"/>
    <s v="X-incity"/>
    <n v="3118"/>
    <n v="75096"/>
    <s v="Furado"/>
    <n v="102178"/>
    <s v="X-Incity"/>
    <s v="Furado"/>
    <m/>
    <x v="1"/>
    <x v="1"/>
    <s v="Conserto"/>
    <n v="177274"/>
    <n v="1635"/>
  </r>
  <r>
    <n v="7339"/>
    <s v="Michelin"/>
    <s v="X-incity"/>
    <n v="519"/>
    <n v="91414"/>
    <s v="Liso"/>
    <n v="123657"/>
    <s v="X-Incity"/>
    <s v="Liso"/>
    <m/>
    <x v="5"/>
    <x v="1"/>
    <s v="Estoque"/>
    <n v="215071"/>
    <n v="1635"/>
  </r>
  <r>
    <n v="7340"/>
    <s v="Michelin"/>
    <s v="X-incity"/>
    <n v="519"/>
    <n v="91414"/>
    <s v="Liso"/>
    <n v="70361"/>
    <s v="X-Incity"/>
    <s v="Furado"/>
    <m/>
    <x v="1"/>
    <x v="1"/>
    <s v="Sucata"/>
    <n v="161775"/>
    <n v="1635"/>
  </r>
  <r>
    <n v="7341"/>
    <s v="Michelin"/>
    <s v="X-incity"/>
    <n v="519"/>
    <n v="14645"/>
    <s v="s/ dados"/>
    <m/>
    <m/>
    <m/>
    <m/>
    <x v="1"/>
    <x v="1"/>
    <m/>
    <n v="14645"/>
    <n v="1635"/>
  </r>
  <r>
    <n v="7342"/>
    <s v="Michelin"/>
    <s v="X-incity"/>
    <n v="519"/>
    <n v="14645"/>
    <s v="s/ dados"/>
    <m/>
    <m/>
    <m/>
    <m/>
    <x v="1"/>
    <x v="1"/>
    <m/>
    <n v="14645"/>
    <n v="1635"/>
  </r>
  <r>
    <n v="7343"/>
    <s v="Michelin"/>
    <s v="X-incity"/>
    <n v="519"/>
    <n v="103272"/>
    <s v="Liso"/>
    <n v="114068"/>
    <s v="X-Incity"/>
    <s v="Liso"/>
    <m/>
    <x v="4"/>
    <x v="1"/>
    <n v="19056"/>
    <n v="217340"/>
    <n v="1635"/>
  </r>
  <r>
    <n v="7344"/>
    <s v="Michelin"/>
    <s v="X-incity"/>
    <n v="519"/>
    <n v="116419"/>
    <s v="Liso"/>
    <m/>
    <m/>
    <m/>
    <m/>
    <x v="1"/>
    <x v="1"/>
    <n v="19060"/>
    <n v="116419"/>
    <n v="1635"/>
  </r>
  <r>
    <n v="7345"/>
    <s v="Michelin"/>
    <s v="X-incity"/>
    <n v="519"/>
    <n v="17644"/>
    <s v="s/ dados"/>
    <m/>
    <m/>
    <m/>
    <m/>
    <x v="1"/>
    <x v="1"/>
    <m/>
    <n v="17644"/>
    <n v="1635"/>
  </r>
  <r>
    <n v="7346"/>
    <s v="Michelin"/>
    <s v="X-incity"/>
    <n v="519"/>
    <n v="17644"/>
    <s v="s/ dados"/>
    <m/>
    <m/>
    <m/>
    <m/>
    <x v="1"/>
    <x v="1"/>
    <m/>
    <n v="17644"/>
    <n v="1635"/>
  </r>
  <r>
    <n v="7389"/>
    <s v="Michelin"/>
    <s v="X-incity"/>
    <n v="1419"/>
    <n v="5904"/>
    <s v="s/ dados"/>
    <m/>
    <m/>
    <m/>
    <m/>
    <x v="1"/>
    <x v="1"/>
    <m/>
    <n v="5904"/>
    <n v="1635"/>
  </r>
  <r>
    <n v="7390"/>
    <s v="Michelin"/>
    <s v="X-incity"/>
    <n v="1419"/>
    <n v="5904"/>
    <s v="s/ dados"/>
    <m/>
    <m/>
    <m/>
    <m/>
    <x v="1"/>
    <x v="1"/>
    <m/>
    <n v="5904"/>
    <n v="1635"/>
  </r>
  <r>
    <n v="7391"/>
    <s v="Michelin"/>
    <s v="X-incity"/>
    <n v="1419"/>
    <n v="14098"/>
    <s v="s/ dados"/>
    <m/>
    <m/>
    <m/>
    <m/>
    <x v="1"/>
    <x v="1"/>
    <m/>
    <n v="14098"/>
    <n v="1635"/>
  </r>
  <r>
    <n v="7392"/>
    <s v="Michelin"/>
    <s v="X-incity"/>
    <n v="1419"/>
    <n v="14098"/>
    <s v="s/ dados"/>
    <m/>
    <m/>
    <m/>
    <m/>
    <x v="1"/>
    <x v="1"/>
    <m/>
    <n v="14098"/>
    <n v="1635"/>
  </r>
  <r>
    <n v="7393"/>
    <s v="Michelin"/>
    <s v="X-incity"/>
    <n v="1419"/>
    <n v="82001"/>
    <s v="Liso"/>
    <m/>
    <s v="X-Incity"/>
    <s v="s/ dados"/>
    <m/>
    <x v="1"/>
    <x v="1"/>
    <n v="9004"/>
    <n v="82001"/>
    <n v="1766"/>
  </r>
  <r>
    <n v="7394"/>
    <s v="Michelin"/>
    <s v="X-incity"/>
    <n v="1419"/>
    <n v="82001"/>
    <s v="Liso"/>
    <m/>
    <s v="X-Incity"/>
    <m/>
    <m/>
    <x v="1"/>
    <x v="1"/>
    <n v="8005"/>
    <n v="82001"/>
    <n v="1766"/>
  </r>
  <r>
    <n v="7395"/>
    <s v="Michelin"/>
    <s v="X-incity"/>
    <n v="1219"/>
    <n v="83619"/>
    <s v="Liso"/>
    <m/>
    <s v="X-Incity"/>
    <m/>
    <m/>
    <x v="1"/>
    <x v="1"/>
    <n v="8005"/>
    <n v="83619"/>
    <n v="1766"/>
  </r>
  <r>
    <n v="7396"/>
    <s v="Michelin"/>
    <s v="X-incity"/>
    <n v="1219"/>
    <n v="91767"/>
    <s v="Furado"/>
    <m/>
    <s v="X-Incity"/>
    <m/>
    <m/>
    <x v="1"/>
    <x v="1"/>
    <n v="19054"/>
    <n v="91767"/>
    <n v="1766"/>
  </r>
  <r>
    <n v="7397"/>
    <s v="Michelin"/>
    <s v="X-incity"/>
    <n v="1219"/>
    <n v="89348"/>
    <s v="Liso"/>
    <m/>
    <s v="DVR-M"/>
    <m/>
    <m/>
    <x v="1"/>
    <x v="1"/>
    <n v="19052"/>
    <n v="89348"/>
    <n v="1766"/>
  </r>
  <r>
    <n v="7398"/>
    <s v="Michelin"/>
    <s v="X-incity"/>
    <n v="1219"/>
    <n v="89229"/>
    <s v="Liso"/>
    <m/>
    <s v="X-Incity"/>
    <m/>
    <m/>
    <x v="1"/>
    <x v="1"/>
    <n v="19054"/>
    <n v="89229"/>
    <n v="1766"/>
  </r>
  <r>
    <n v="7399"/>
    <s v="Michelin"/>
    <s v="X-incity"/>
    <n v="1419"/>
    <n v="19344"/>
    <s v="s/ dados"/>
    <m/>
    <m/>
    <m/>
    <m/>
    <x v="1"/>
    <x v="1"/>
    <m/>
    <n v="19344"/>
    <n v="1766"/>
  </r>
  <r>
    <n v="7400"/>
    <s v="Michelin"/>
    <s v="X-incity"/>
    <n v="1419"/>
    <n v="19344"/>
    <s v="s/ dados"/>
    <m/>
    <m/>
    <m/>
    <m/>
    <x v="1"/>
    <x v="1"/>
    <m/>
    <n v="19344"/>
    <n v="1766"/>
  </r>
  <r>
    <n v="7431"/>
    <s v="Michelin"/>
    <s v="X-incity"/>
    <n v="2219"/>
    <n v="23264"/>
    <s v="s/ dados"/>
    <m/>
    <m/>
    <m/>
    <m/>
    <x v="1"/>
    <x v="1"/>
    <m/>
    <n v="23264"/>
    <n v="1766"/>
  </r>
  <r>
    <n v="7432"/>
    <s v="Michelin"/>
    <s v="X-incity"/>
    <n v="2219"/>
    <n v="23264"/>
    <s v="s/ dados"/>
    <m/>
    <m/>
    <m/>
    <m/>
    <x v="1"/>
    <x v="1"/>
    <m/>
    <n v="23264"/>
    <n v="1766"/>
  </r>
  <r>
    <n v="7433"/>
    <s v="Michelin"/>
    <s v="X-incity"/>
    <n v="2319"/>
    <n v="113354"/>
    <s v="Liso"/>
    <m/>
    <s v="DVR-M"/>
    <m/>
    <m/>
    <x v="1"/>
    <x v="1"/>
    <n v="19060"/>
    <n v="113354"/>
    <n v="1766"/>
  </r>
  <r>
    <n v="7434"/>
    <s v="Michelin"/>
    <s v="X-incity"/>
    <n v="2319"/>
    <n v="113354"/>
    <s v="Liso"/>
    <m/>
    <s v="DVR-M"/>
    <m/>
    <m/>
    <x v="1"/>
    <x v="1"/>
    <n v="19060"/>
    <n v="113354"/>
    <n v="1766"/>
  </r>
  <r>
    <n v="7435"/>
    <s v="Michelin"/>
    <s v="X-incity"/>
    <n v="2219"/>
    <n v="103513"/>
    <s v="Liso"/>
    <m/>
    <s v="DVR-M"/>
    <m/>
    <m/>
    <x v="1"/>
    <x v="1"/>
    <n v="19060"/>
    <n v="103513"/>
    <n v="1766"/>
  </r>
  <r>
    <n v="7436"/>
    <s v="Michelin"/>
    <s v="X-incity"/>
    <n v="2219"/>
    <n v="92478"/>
    <s v="Liso"/>
    <m/>
    <s v="DVR-M"/>
    <m/>
    <m/>
    <x v="1"/>
    <x v="1"/>
    <n v="19052"/>
    <n v="92478"/>
    <n v="1766"/>
  </r>
  <r>
    <n v="7453"/>
    <s v="Bridgestone"/>
    <s v="R163"/>
    <n v="919"/>
    <n v="75819"/>
    <s v="Liso"/>
    <n v="46269"/>
    <s v="DVR-M"/>
    <s v="Furado"/>
    <m/>
    <x v="1"/>
    <x v="1"/>
    <s v="Sucata"/>
    <n v="122088"/>
    <n v="1766"/>
  </r>
  <r>
    <n v="7454"/>
    <s v="Bridgestone"/>
    <s v="R163"/>
    <n v="219"/>
    <n v="41688"/>
    <s v="Furado"/>
    <n v="106603"/>
    <s v="DVR-M"/>
    <s v="Liso"/>
    <m/>
    <x v="1"/>
    <x v="1"/>
    <s v="Estoque"/>
    <n v="148291"/>
    <n v="1766"/>
  </r>
  <r>
    <n v="7455"/>
    <s v="Bridgestone"/>
    <s v="R163"/>
    <n v="619"/>
    <n v="91464"/>
    <s v="Liso"/>
    <n v="79507"/>
    <s v="DVR-M"/>
    <s v="Liso"/>
    <m/>
    <x v="1"/>
    <x v="1"/>
    <m/>
    <n v="170971"/>
    <n v="1766"/>
  </r>
  <r>
    <n v="7456"/>
    <s v="Bridgestone"/>
    <s v="R163"/>
    <n v="919"/>
    <n v="91464"/>
    <s v="Liso"/>
    <n v="75504"/>
    <s v="DVR-M"/>
    <s v="Liso"/>
    <m/>
    <x v="1"/>
    <x v="1"/>
    <m/>
    <n v="166968"/>
    <n v="1766"/>
  </r>
  <r>
    <n v="7457"/>
    <s v="Bridgestone"/>
    <s v="R163"/>
    <n v="919"/>
    <n v="91464"/>
    <s v="Liso"/>
    <n v="90147"/>
    <s v="DVR-M"/>
    <s v="Liso"/>
    <m/>
    <x v="1"/>
    <x v="1"/>
    <m/>
    <n v="181611"/>
    <n v="1766"/>
  </r>
  <r>
    <n v="7458"/>
    <s v="Bridgestone"/>
    <s v="R163"/>
    <n v="919"/>
    <n v="91464"/>
    <s v="Liso"/>
    <n v="79507"/>
    <s v="DVR-M"/>
    <s v="Liso"/>
    <m/>
    <x v="1"/>
    <x v="1"/>
    <m/>
    <n v="170971"/>
    <n v="1766"/>
  </r>
  <r>
    <n v="7459"/>
    <s v="Michelin"/>
    <s v="X-incity"/>
    <n v="1319"/>
    <n v="89435"/>
    <s v="Liso"/>
    <m/>
    <s v="X-Incity"/>
    <m/>
    <m/>
    <x v="1"/>
    <x v="1"/>
    <n v="19057"/>
    <n v="89435"/>
    <n v="1766"/>
  </r>
  <r>
    <n v="7460"/>
    <s v="Michelin"/>
    <s v="X-incity"/>
    <n v="1319"/>
    <n v="96890"/>
    <s v="Liso"/>
    <m/>
    <s v="X-Incity"/>
    <m/>
    <m/>
    <x v="1"/>
    <x v="1"/>
    <n v="19054"/>
    <n v="96890"/>
    <n v="1766"/>
  </r>
  <r>
    <n v="7461"/>
    <s v="Michelin"/>
    <s v="X-incity"/>
    <n v="1519"/>
    <n v="98225"/>
    <s v="Liso"/>
    <n v="96797"/>
    <s v="X-Incity"/>
    <s v="Furado"/>
    <m/>
    <x v="1"/>
    <x v="1"/>
    <s v="Sucata"/>
    <n v="195022"/>
    <n v="1766"/>
  </r>
  <r>
    <n v="7462"/>
    <s v="Michelin"/>
    <s v="X-incity"/>
    <n v="1319"/>
    <n v="85010"/>
    <s v="Liso"/>
    <m/>
    <s v="X-Incity"/>
    <m/>
    <m/>
    <x v="1"/>
    <x v="1"/>
    <n v="19058"/>
    <n v="85010"/>
    <n v="1766"/>
  </r>
  <r>
    <n v="7463"/>
    <s v="Michelin"/>
    <s v="X-incity"/>
    <n v="1319"/>
    <n v="98225"/>
    <s v="Liso"/>
    <m/>
    <s v="X-Incity"/>
    <m/>
    <m/>
    <x v="1"/>
    <x v="1"/>
    <n v="19057"/>
    <n v="98225"/>
    <n v="1766"/>
  </r>
  <r>
    <n v="7464"/>
    <s v="Michelin"/>
    <s v="X-incity"/>
    <n v="1319"/>
    <n v="88406"/>
    <s v="Liso"/>
    <n v="83446"/>
    <s v="DVR-M"/>
    <s v="Liso"/>
    <n v="32906"/>
    <x v="0"/>
    <x v="3"/>
    <s v="Sucata"/>
    <n v="204758"/>
    <n v="1766"/>
  </r>
  <r>
    <n v="7465"/>
    <s v="Goodyear"/>
    <s v="CityMax"/>
    <n v="819"/>
    <n v="112510"/>
    <s v="Liso"/>
    <m/>
    <s v="DVR-M"/>
    <m/>
    <m/>
    <x v="1"/>
    <x v="1"/>
    <n v="19052"/>
    <n v="112510"/>
    <n v="1766"/>
  </r>
  <r>
    <n v="7466"/>
    <s v="Goodyear"/>
    <s v="CityMax"/>
    <n v="719"/>
    <n v="91905"/>
    <s v="Desg. Irregular"/>
    <n v="60511"/>
    <s v="DVR-M"/>
    <s v="Infiltração"/>
    <m/>
    <x v="1"/>
    <x v="1"/>
    <s v="Sucata"/>
    <n v="152416"/>
    <n v="1766"/>
  </r>
  <r>
    <n v="7467"/>
    <s v="Goodyear"/>
    <s v="CityMax"/>
    <n v="819"/>
    <n v="96162"/>
    <s v="Liso"/>
    <n v="67610"/>
    <s v="DVR-M"/>
    <s v="Liso"/>
    <n v="36583"/>
    <x v="0"/>
    <x v="5"/>
    <s v="Sucata"/>
    <n v="200355"/>
    <n v="1766"/>
  </r>
  <r>
    <n v="7468"/>
    <s v="Goodyear"/>
    <s v="CityMax"/>
    <n v="819"/>
    <n v="96162"/>
    <s v="Liso"/>
    <n v="44106"/>
    <s v="DVR-M"/>
    <s v="Infiltração"/>
    <m/>
    <x v="1"/>
    <x v="1"/>
    <s v="Sucata"/>
    <n v="140268"/>
    <n v="1766"/>
  </r>
  <r>
    <n v="7469"/>
    <s v="Goodyear"/>
    <s v="CityMax"/>
    <n v="819"/>
    <n v="96162"/>
    <s v="Liso"/>
    <n v="67722"/>
    <s v="DVR-M"/>
    <s v="Liso"/>
    <m/>
    <x v="1"/>
    <x v="1"/>
    <m/>
    <n v="163884"/>
    <n v="1766"/>
  </r>
  <r>
    <n v="7470"/>
    <s v="Goodyear"/>
    <s v="CityMax"/>
    <n v="1519"/>
    <n v="96162"/>
    <s v="Liso"/>
    <m/>
    <m/>
    <m/>
    <m/>
    <x v="1"/>
    <x v="1"/>
    <s v="Sucata"/>
    <n v="96162"/>
    <n v="1766"/>
  </r>
  <r>
    <n v="7471"/>
    <s v="Michelin"/>
    <s v="X-incity"/>
    <n v="1319"/>
    <n v="93978"/>
    <s v="Liso"/>
    <m/>
    <m/>
    <s v="s/ dados"/>
    <m/>
    <x v="1"/>
    <x v="1"/>
    <n v="103"/>
    <n v="93978"/>
    <n v="1766"/>
  </r>
  <r>
    <n v="7472"/>
    <s v="Michelin"/>
    <s v="X-incity"/>
    <n v="1319"/>
    <n v="93510"/>
    <s v="Liso"/>
    <n v="63816"/>
    <s v="X-Incity"/>
    <m/>
    <m/>
    <x v="1"/>
    <x v="1"/>
    <s v="Estoque"/>
    <n v="157326"/>
    <n v="1766"/>
  </r>
  <r>
    <n v="7473"/>
    <s v="Michelin"/>
    <s v="X-incity"/>
    <n v="1319"/>
    <n v="96747"/>
    <s v="Liso"/>
    <m/>
    <s v="DVR-M"/>
    <m/>
    <m/>
    <x v="1"/>
    <x v="1"/>
    <n v="19056"/>
    <n v="96747"/>
    <n v="1766"/>
  </r>
  <r>
    <n v="7474"/>
    <s v="Michelin"/>
    <s v="X-incity"/>
    <n v="1319"/>
    <n v="79693"/>
    <s v="Liso"/>
    <n v="83758"/>
    <s v="DVR-M"/>
    <s v="Liso"/>
    <m/>
    <x v="0"/>
    <x v="3"/>
    <s v="Sucata"/>
    <n v="163451"/>
    <n v="1766"/>
  </r>
  <r>
    <n v="7475"/>
    <s v="Michelin"/>
    <s v="X-incity"/>
    <n v="1319"/>
    <n v="41081"/>
    <s v="s/ dados"/>
    <m/>
    <m/>
    <m/>
    <m/>
    <x v="1"/>
    <x v="1"/>
    <m/>
    <n v="41081"/>
    <n v="1766"/>
  </r>
  <r>
    <n v="7476"/>
    <s v="Michelin"/>
    <s v="X-incity"/>
    <n v="1319"/>
    <n v="41081"/>
    <s v="s/ dados"/>
    <m/>
    <m/>
    <m/>
    <m/>
    <x v="1"/>
    <x v="1"/>
    <m/>
    <n v="41081"/>
    <n v="1766"/>
  </r>
  <r>
    <n v="7477"/>
    <s v="Michelin"/>
    <s v="X-incity"/>
    <n v="1619"/>
    <n v="95114"/>
    <s v="Liso"/>
    <n v="84512"/>
    <s v="X-Incity"/>
    <s v="Infiltração"/>
    <m/>
    <x v="1"/>
    <x v="1"/>
    <s v="Sucata"/>
    <n v="179626"/>
    <n v="1766"/>
  </r>
  <r>
    <n v="7478"/>
    <s v="Michelin"/>
    <s v="X-incity"/>
    <n v="1519"/>
    <n v="95214"/>
    <s v="Liso"/>
    <n v="108108"/>
    <s v="X-Incity"/>
    <s v="Liso"/>
    <m/>
    <x v="1"/>
    <x v="1"/>
    <s v="Sucata"/>
    <n v="203322"/>
    <n v="1766"/>
  </r>
  <r>
    <n v="7479"/>
    <s v="Michelin"/>
    <s v="X-incity"/>
    <n v="1519"/>
    <n v="98277"/>
    <s v="Liso"/>
    <n v="18802"/>
    <s v="X-Incity"/>
    <s v="Infiltração"/>
    <m/>
    <x v="1"/>
    <x v="1"/>
    <s v="Sucata"/>
    <n v="117079"/>
    <n v="1766"/>
  </r>
  <r>
    <n v="7480"/>
    <s v="Michelin"/>
    <s v="X-incity"/>
    <n v="1519"/>
    <n v="95673"/>
    <s v="Liso"/>
    <m/>
    <s v="DVR-M"/>
    <m/>
    <m/>
    <x v="1"/>
    <x v="1"/>
    <n v="8008"/>
    <n v="95673"/>
    <n v="1766"/>
  </r>
  <r>
    <n v="7481"/>
    <s v="Michelin"/>
    <s v="X-incity"/>
    <n v="1519"/>
    <n v="98277"/>
    <s v="Liso"/>
    <n v="123657"/>
    <s v="X-Incity"/>
    <s v="Liso"/>
    <m/>
    <x v="5"/>
    <x v="1"/>
    <s v="Estoque"/>
    <n v="221934"/>
    <n v="1766"/>
  </r>
  <r>
    <n v="7482"/>
    <s v="Michelin"/>
    <s v="X-incity"/>
    <n v="1619"/>
    <n v="98277"/>
    <s v="Liso"/>
    <n v="120799"/>
    <s v="X-Incity"/>
    <s v="Liso"/>
    <m/>
    <x v="1"/>
    <x v="1"/>
    <s v="Estoque"/>
    <n v="219076"/>
    <n v="1766"/>
  </r>
  <r>
    <n v="7483"/>
    <s v="Michelin"/>
    <s v="X-incity"/>
    <n v="1319"/>
    <n v="110057"/>
    <s v="Liso"/>
    <m/>
    <m/>
    <s v="s/ dados"/>
    <m/>
    <x v="1"/>
    <x v="1"/>
    <n v="9004"/>
    <n v="110057"/>
    <n v="1766"/>
  </r>
  <r>
    <n v="7484"/>
    <s v="Michelin"/>
    <s v="X-incity"/>
    <n v="1319"/>
    <n v="13224"/>
    <s v="s/ dados"/>
    <n v="19929"/>
    <s v="X-Incity"/>
    <m/>
    <m/>
    <x v="1"/>
    <x v="1"/>
    <m/>
    <n v="33153"/>
    <n v="1766"/>
  </r>
  <r>
    <n v="7485"/>
    <s v="Michelin"/>
    <s v="X-incity"/>
    <n v="1319"/>
    <n v="109605"/>
    <s v="Liso"/>
    <m/>
    <s v="X-Incity"/>
    <s v="s/ dados"/>
    <m/>
    <x v="1"/>
    <x v="1"/>
    <n v="9004"/>
    <n v="109605"/>
    <n v="1766"/>
  </r>
  <r>
    <n v="7486"/>
    <s v="Michelin"/>
    <s v="X-incity"/>
    <n v="1319"/>
    <n v="99035"/>
    <s v="Liso"/>
    <m/>
    <s v="X-Incity"/>
    <m/>
    <m/>
    <x v="1"/>
    <x v="1"/>
    <n v="19057"/>
    <n v="99035"/>
    <n v="1766"/>
  </r>
  <r>
    <n v="7487"/>
    <s v="Michelin"/>
    <s v="X-incity"/>
    <n v="1319"/>
    <n v="99035"/>
    <s v="Liso"/>
    <m/>
    <m/>
    <s v="Infiltração"/>
    <m/>
    <x v="1"/>
    <x v="1"/>
    <s v="Sucata"/>
    <n v="99035"/>
    <n v="1766"/>
  </r>
  <r>
    <n v="7488"/>
    <s v="Michelin"/>
    <s v="X-incity"/>
    <n v="1319"/>
    <n v="99035"/>
    <s v="Liso"/>
    <n v="97512"/>
    <s v="X-Incity"/>
    <s v="Desg. Irregular"/>
    <m/>
    <x v="1"/>
    <x v="1"/>
    <s v="Estoque"/>
    <n v="196547"/>
    <n v="1766"/>
  </r>
  <r>
    <n v="7489"/>
    <s v="Michelin"/>
    <s v="X-incity"/>
    <n v="1319"/>
    <n v="21595"/>
    <s v="s/ dados"/>
    <n v="32467"/>
    <s v="X-Incity"/>
    <m/>
    <m/>
    <x v="1"/>
    <x v="1"/>
    <m/>
    <n v="54062"/>
    <n v="1766"/>
  </r>
  <r>
    <n v="7490"/>
    <s v="Michelin"/>
    <s v="X-incity"/>
    <n v="1319"/>
    <n v="26649"/>
    <s v="s/ dados"/>
    <n v="19275"/>
    <s v="X-Incity"/>
    <m/>
    <m/>
    <x v="1"/>
    <x v="1"/>
    <m/>
    <n v="45924"/>
    <n v="1766"/>
  </r>
  <r>
    <n v="7491"/>
    <s v="Michelin"/>
    <s v="X-incity"/>
    <n v="1319"/>
    <n v="104079"/>
    <s v="Liso"/>
    <m/>
    <s v="X-Incity"/>
    <m/>
    <m/>
    <x v="1"/>
    <x v="1"/>
    <n v="8002"/>
    <n v="104079"/>
    <n v="1766"/>
  </r>
  <r>
    <n v="7492"/>
    <s v="Michelin"/>
    <s v="X-incity"/>
    <n v="1319"/>
    <n v="95515"/>
    <s v="Liso"/>
    <m/>
    <s v="X-Incity"/>
    <m/>
    <m/>
    <x v="1"/>
    <x v="1"/>
    <n v="8002"/>
    <n v="95515"/>
    <n v="1766"/>
  </r>
  <r>
    <n v="7493"/>
    <s v="Michelin"/>
    <s v="X-incity"/>
    <n v="1319"/>
    <n v="37475"/>
    <s v="s/ dados"/>
    <m/>
    <m/>
    <m/>
    <m/>
    <x v="1"/>
    <x v="1"/>
    <m/>
    <n v="37475"/>
    <n v="1766"/>
  </r>
  <r>
    <n v="7494"/>
    <s v="Michelin"/>
    <s v="X-incity"/>
    <n v="1319"/>
    <n v="37475"/>
    <s v="s/ dados"/>
    <m/>
    <m/>
    <m/>
    <m/>
    <x v="1"/>
    <x v="1"/>
    <m/>
    <n v="37475"/>
    <n v="1766"/>
  </r>
  <r>
    <n v="7495"/>
    <s v="Michelin"/>
    <s v="X-incity"/>
    <n v="1319"/>
    <n v="99602"/>
    <s v="Liso"/>
    <n v="71606"/>
    <s v="X-Incity"/>
    <s v="Furado"/>
    <m/>
    <x v="1"/>
    <x v="1"/>
    <s v="Sucata"/>
    <n v="171208"/>
    <n v="1766"/>
  </r>
  <r>
    <n v="7496"/>
    <s v="Michelin"/>
    <s v="X-incity"/>
    <n v="1319"/>
    <n v="111506"/>
    <s v="Liso"/>
    <m/>
    <s v="X-Incity"/>
    <m/>
    <m/>
    <x v="1"/>
    <x v="1"/>
    <n v="8002"/>
    <n v="111506"/>
    <n v="1766"/>
  </r>
  <r>
    <n v="7497"/>
    <s v="Michelin"/>
    <s v="X-incity"/>
    <n v="1319"/>
    <n v="76347"/>
    <s v="Liso"/>
    <n v="123294"/>
    <s v="X-Incity"/>
    <s v="Liso"/>
    <n v="10419"/>
    <x v="4"/>
    <x v="5"/>
    <s v="Sucata"/>
    <n v="210060"/>
    <n v="1766"/>
  </r>
  <r>
    <n v="7498"/>
    <s v="Michelin"/>
    <s v="X-incity"/>
    <n v="1319"/>
    <n v="119645"/>
    <s v="Liso"/>
    <n v="98331"/>
    <s v="X-Incity"/>
    <s v="Infiltração"/>
    <m/>
    <x v="1"/>
    <x v="1"/>
    <s v="Sucata"/>
    <n v="217976"/>
    <n v="1766"/>
  </r>
  <r>
    <n v="7499"/>
    <s v="Michelin"/>
    <s v="X-incity"/>
    <n v="1319"/>
    <n v="115892"/>
    <s v="Liso"/>
    <m/>
    <s v="X-Incity"/>
    <m/>
    <m/>
    <x v="1"/>
    <x v="1"/>
    <n v="19055"/>
    <n v="115892"/>
    <n v="1766"/>
  </r>
  <r>
    <n v="7500"/>
    <s v="Michelin"/>
    <s v="X-incity"/>
    <n v="1319"/>
    <n v="98081"/>
    <s v="Liso"/>
    <n v="87911"/>
    <s v="X-Incity"/>
    <s v="Furado"/>
    <m/>
    <x v="1"/>
    <x v="1"/>
    <s v="Conserto"/>
    <n v="185992"/>
    <n v="1766"/>
  </r>
  <r>
    <n v="7501"/>
    <s v="Michelin"/>
    <s v="X-incity"/>
    <n v="1319"/>
    <n v="59816"/>
    <s v="s/ dados"/>
    <m/>
    <m/>
    <m/>
    <m/>
    <x v="1"/>
    <x v="1"/>
    <m/>
    <n v="59816"/>
    <n v="1766"/>
  </r>
  <r>
    <n v="7502"/>
    <s v="Michelin"/>
    <s v="X-incity"/>
    <n v="1319"/>
    <n v="59816"/>
    <s v="s/ dados"/>
    <m/>
    <m/>
    <m/>
    <m/>
    <x v="1"/>
    <x v="1"/>
    <m/>
    <n v="59816"/>
    <n v="1766"/>
  </r>
  <r>
    <n v="7503"/>
    <s v="Michelin"/>
    <s v="X-incity"/>
    <n v="1319"/>
    <n v="103837"/>
    <s v="Liso"/>
    <m/>
    <s v="DVR-M"/>
    <m/>
    <m/>
    <x v="1"/>
    <x v="1"/>
    <n v="8008"/>
    <n v="103837"/>
    <n v="1766"/>
  </r>
  <r>
    <n v="7504"/>
    <s v="Michelin"/>
    <s v="X-incity"/>
    <n v="1319"/>
    <n v="98750"/>
    <s v="Liso"/>
    <m/>
    <s v="DVR-M"/>
    <m/>
    <m/>
    <x v="1"/>
    <x v="1"/>
    <n v="8008"/>
    <n v="98750"/>
    <n v="1766"/>
  </r>
  <r>
    <n v="7505"/>
    <s v="Michelin"/>
    <s v="X-incity"/>
    <n v="1319"/>
    <n v="92472"/>
    <s v="Liso"/>
    <m/>
    <s v="X-Incity"/>
    <m/>
    <m/>
    <x v="1"/>
    <x v="1"/>
    <n v="8005"/>
    <n v="92472"/>
    <n v="1766"/>
  </r>
  <r>
    <n v="7506"/>
    <s v="Michelin"/>
    <s v="X-incity"/>
    <n v="1319"/>
    <n v="100252"/>
    <s v="Liso"/>
    <m/>
    <s v="X-Incity"/>
    <m/>
    <m/>
    <x v="1"/>
    <x v="1"/>
    <n v="8005"/>
    <n v="100252"/>
    <n v="1766"/>
  </r>
  <r>
    <n v="7507"/>
    <s v="Goodyear"/>
    <s v="CityMax"/>
    <n v="1619"/>
    <n v="93985"/>
    <s v="Liso"/>
    <m/>
    <s v="DVR-M"/>
    <m/>
    <m/>
    <x v="1"/>
    <x v="1"/>
    <n v="8006"/>
    <n v="93985"/>
    <n v="1766"/>
  </r>
  <r>
    <n v="7508"/>
    <s v="Goodyear"/>
    <s v="CityMax"/>
    <n v="1619"/>
    <n v="93985"/>
    <s v="Liso"/>
    <m/>
    <s v="DVR-M"/>
    <m/>
    <m/>
    <x v="1"/>
    <x v="1"/>
    <n v="8006"/>
    <n v="93985"/>
    <n v="1766"/>
  </r>
  <r>
    <n v="7509"/>
    <s v="Goodyear"/>
    <s v="CityMax"/>
    <n v="1619"/>
    <n v="108715"/>
    <s v="Liso"/>
    <n v="10529"/>
    <s v="DVR-M"/>
    <s v="Furado"/>
    <m/>
    <x v="1"/>
    <x v="1"/>
    <s v="Sucata"/>
    <n v="119244"/>
    <n v="1766"/>
  </r>
  <r>
    <n v="7510"/>
    <s v="Goodyear"/>
    <s v="CityMax"/>
    <n v="1619"/>
    <n v="108715"/>
    <s v="Liso"/>
    <m/>
    <s v="DVR-M"/>
    <m/>
    <m/>
    <x v="1"/>
    <x v="1"/>
    <n v="8006"/>
    <n v="108715"/>
    <n v="1766"/>
  </r>
  <r>
    <n v="7511"/>
    <s v="Goodyear"/>
    <s v="CityMax"/>
    <n v="1619"/>
    <n v="87953"/>
    <s v="Liso"/>
    <n v="73118"/>
    <s v="DVR-M"/>
    <s v="Liso"/>
    <m/>
    <x v="0"/>
    <x v="1"/>
    <n v="19053"/>
    <n v="161071"/>
    <n v="1766"/>
  </r>
  <r>
    <n v="7512"/>
    <s v="Goodyear"/>
    <s v="CityMax"/>
    <n v="1619"/>
    <n v="87953"/>
    <s v="Liso"/>
    <n v="13588"/>
    <s v="DVR-M"/>
    <s v="Infiltração"/>
    <m/>
    <x v="1"/>
    <x v="1"/>
    <s v="Sucata"/>
    <n v="101541"/>
    <n v="1766"/>
  </r>
  <r>
    <n v="7583"/>
    <s v="FateCargo"/>
    <s v="SR-260"/>
    <n v="3419"/>
    <n v="36368"/>
    <s v="Desg. Irregular"/>
    <n v="67453"/>
    <s v="DVR-M"/>
    <s v="Liso"/>
    <m/>
    <x v="1"/>
    <x v="3"/>
    <s v="Sucata"/>
    <n v="103821"/>
    <n v="1454"/>
  </r>
  <r>
    <n v="7584"/>
    <s v="FateCargo"/>
    <s v="SR-260"/>
    <n v="3419"/>
    <n v="36368"/>
    <s v="Liso"/>
    <n v="22146"/>
    <s v="DVR-M"/>
    <s v="Infiltração"/>
    <m/>
    <x v="1"/>
    <x v="1"/>
    <s v="Sucata"/>
    <n v="58514"/>
    <n v="1454"/>
  </r>
  <r>
    <n v="7585"/>
    <s v="FateCargo"/>
    <s v="SR-260"/>
    <n v="4219"/>
    <n v="31578"/>
    <s v="Liso"/>
    <m/>
    <s v="DVR-M"/>
    <m/>
    <m/>
    <x v="1"/>
    <x v="1"/>
    <n v="8004"/>
    <n v="31578"/>
    <n v="1454"/>
  </r>
  <r>
    <n v="7586"/>
    <s v="FateCargo"/>
    <s v="SR-260"/>
    <n v="4219"/>
    <n v="32989"/>
    <s v="Liso"/>
    <m/>
    <s v="DVR-M"/>
    <m/>
    <m/>
    <x v="1"/>
    <x v="1"/>
    <n v="8004"/>
    <n v="32989"/>
    <n v="1454"/>
  </r>
  <r>
    <n v="7587"/>
    <s v="FateCargo"/>
    <s v="SR-260"/>
    <n v="4219"/>
    <n v="35612"/>
    <s v="Liso"/>
    <m/>
    <s v="DVR-M"/>
    <m/>
    <m/>
    <x v="1"/>
    <x v="1"/>
    <n v="8004"/>
    <n v="35612"/>
    <n v="1454"/>
  </r>
  <r>
    <n v="7588"/>
    <s v="FateCargo"/>
    <s v="SR-260"/>
    <n v="4219"/>
    <n v="41152"/>
    <s v="Liso"/>
    <m/>
    <s v="DVR-M"/>
    <m/>
    <m/>
    <x v="1"/>
    <x v="1"/>
    <n v="8004"/>
    <n v="41152"/>
    <n v="1454"/>
  </r>
  <r>
    <n v="7589"/>
    <s v="FateCargo"/>
    <s v="SR-260"/>
    <n v="4219"/>
    <n v="29838"/>
    <s v="Infiltração"/>
    <m/>
    <m/>
    <m/>
    <m/>
    <x v="1"/>
    <x v="1"/>
    <s v="Sucata"/>
    <n v="29838"/>
    <n v="1454"/>
  </r>
  <r>
    <n v="7590"/>
    <s v="FateCargo"/>
    <s v="SR-260"/>
    <n v="3419"/>
    <n v="53327"/>
    <s v="Liso"/>
    <n v="56076"/>
    <s v="DVR-M"/>
    <s v="Furado"/>
    <m/>
    <x v="1"/>
    <x v="1"/>
    <s v="Sucata"/>
    <n v="109403"/>
    <n v="1454"/>
  </r>
  <r>
    <n v="7647"/>
    <s v="Michelin"/>
    <s v="X-incity"/>
    <n v="1020"/>
    <n v="95649"/>
    <s v="Liso"/>
    <m/>
    <s v="X-Incity"/>
    <m/>
    <m/>
    <x v="1"/>
    <x v="1"/>
    <n v="19055"/>
    <n v="95649"/>
    <n v="1766"/>
  </r>
  <r>
    <n v="7648"/>
    <s v="Michelin"/>
    <s v="X-incity"/>
    <n v="1020"/>
    <n v="105255"/>
    <s v="Liso"/>
    <m/>
    <s v="X-Incity"/>
    <m/>
    <m/>
    <x v="1"/>
    <x v="1"/>
    <n v="19055"/>
    <n v="105255"/>
    <n v="1766"/>
  </r>
  <r>
    <n v="7649"/>
    <s v="Michelin"/>
    <s v="X-incity"/>
    <n v="1020"/>
    <n v="105267"/>
    <s v="Liso"/>
    <m/>
    <s v="DVR-M"/>
    <m/>
    <m/>
    <x v="1"/>
    <x v="1"/>
    <n v="8008"/>
    <n v="105267"/>
    <n v="1766"/>
  </r>
  <r>
    <n v="7650"/>
    <s v="Michelin"/>
    <s v="X-incity"/>
    <n v="1020"/>
    <n v="105267"/>
    <s v="Liso"/>
    <m/>
    <m/>
    <s v="Infiltração"/>
    <m/>
    <x v="1"/>
    <x v="1"/>
    <s v="Sucata"/>
    <n v="105267"/>
    <n v="1766"/>
  </r>
  <r>
    <n v="7660"/>
    <s v="Pirelli"/>
    <s v="MC01"/>
    <n v="4820"/>
    <n v="121463"/>
    <s v="Liso"/>
    <m/>
    <s v="DVR-M"/>
    <m/>
    <m/>
    <x v="1"/>
    <x v="1"/>
    <n v="19059"/>
    <n v="121463"/>
    <n v="1766"/>
  </r>
  <r>
    <n v="7661"/>
    <s v="Pirelli"/>
    <s v="MC01"/>
    <n v="4820"/>
    <n v="128044"/>
    <s v="Liso"/>
    <m/>
    <s v="DVR-M"/>
    <m/>
    <m/>
    <x v="1"/>
    <x v="1"/>
    <n v="19059"/>
    <n v="128044"/>
    <n v="1766"/>
  </r>
  <r>
    <n v="7662"/>
    <s v="Pirelli"/>
    <s v="MC01"/>
    <n v="4820"/>
    <n v="101344"/>
    <s v="Liso"/>
    <m/>
    <s v="DVR-M"/>
    <m/>
    <m/>
    <x v="1"/>
    <x v="1"/>
    <n v="19059"/>
    <n v="101344"/>
    <n v="1766"/>
  </r>
  <r>
    <n v="7663"/>
    <s v="Pirelli"/>
    <s v="MC01"/>
    <n v="4820"/>
    <n v="51603"/>
    <m/>
    <m/>
    <m/>
    <m/>
    <m/>
    <x v="1"/>
    <x v="1"/>
    <s v="Estoque MSO"/>
    <n v="51603"/>
    <n v="1766"/>
  </r>
  <r>
    <n v="7682"/>
    <s v="Pirelli"/>
    <s v="MC01"/>
    <n v="4920"/>
    <n v="102116"/>
    <s v="Furado"/>
    <m/>
    <m/>
    <m/>
    <m/>
    <x v="1"/>
    <x v="1"/>
    <s v="Sucata"/>
    <n v="102116"/>
    <n v="2191"/>
  </r>
  <r>
    <n v="7683"/>
    <s v="Pirelli"/>
    <s v="MC01"/>
    <n v="4920"/>
    <n v="118955"/>
    <s v="Liso"/>
    <m/>
    <s v="DVR-M"/>
    <m/>
    <m/>
    <x v="1"/>
    <x v="1"/>
    <n v="19059"/>
    <n v="118955"/>
    <n v="2191"/>
  </r>
  <r>
    <n v="7684"/>
    <s v="Pirelli"/>
    <s v="MC01"/>
    <n v="4920"/>
    <n v="116317"/>
    <s v="Liso"/>
    <m/>
    <s v="DV-UM"/>
    <m/>
    <m/>
    <x v="1"/>
    <x v="1"/>
    <n v="19051"/>
    <n v="116317"/>
    <n v="2191"/>
  </r>
  <r>
    <n v="7685"/>
    <s v="Pirelli"/>
    <s v="MC01"/>
    <n v="4920"/>
    <n v="116317"/>
    <s v="Liso"/>
    <m/>
    <s v="DV-UM"/>
    <m/>
    <m/>
    <x v="1"/>
    <x v="1"/>
    <n v="19051"/>
    <n v="116317"/>
    <n v="2191"/>
  </r>
  <r>
    <n v="7686"/>
    <s v="Pirelli"/>
    <s v="MC01"/>
    <n v="4920"/>
    <m/>
    <m/>
    <m/>
    <m/>
    <m/>
    <m/>
    <x v="1"/>
    <x v="1"/>
    <n v="8008"/>
    <n v="0"/>
    <n v="2191"/>
  </r>
  <r>
    <n v="7687"/>
    <s v="Pirelli"/>
    <s v="MC01"/>
    <n v="4920"/>
    <m/>
    <m/>
    <m/>
    <m/>
    <m/>
    <m/>
    <x v="1"/>
    <x v="1"/>
    <n v="8008"/>
    <n v="0"/>
    <n v="2191"/>
  </r>
  <r>
    <n v="7695"/>
    <s v="Pirelli"/>
    <s v="MC01"/>
    <n v="1021"/>
    <m/>
    <m/>
    <m/>
    <m/>
    <m/>
    <m/>
    <x v="1"/>
    <x v="1"/>
    <n v="8005"/>
    <n v="0"/>
    <n v="2496"/>
  </r>
  <r>
    <n v="7696"/>
    <s v="Pirelli"/>
    <s v="MC01"/>
    <s v="0621"/>
    <m/>
    <m/>
    <m/>
    <m/>
    <m/>
    <m/>
    <x v="1"/>
    <x v="1"/>
    <n v="8005"/>
    <n v="0"/>
    <n v="2496"/>
  </r>
  <r>
    <n v="7697"/>
    <s v="Pirelli"/>
    <s v="MC01"/>
    <s v="0621"/>
    <n v="102707"/>
    <s v="Liso"/>
    <m/>
    <s v="DV-UM"/>
    <m/>
    <m/>
    <x v="1"/>
    <x v="1"/>
    <n v="19051"/>
    <n v="102707"/>
    <n v="2496"/>
  </r>
  <r>
    <n v="7698"/>
    <s v="Pirelli"/>
    <s v="MC01"/>
    <s v="0821"/>
    <n v="84246"/>
    <s v="Furado"/>
    <m/>
    <m/>
    <m/>
    <m/>
    <x v="1"/>
    <x v="1"/>
    <s v="Sucata"/>
    <n v="84246"/>
    <n v="2496"/>
  </r>
  <r>
    <n v="7699"/>
    <s v="Pirelli"/>
    <s v="MC01"/>
    <s v="0821"/>
    <n v="99363"/>
    <s v="Furado"/>
    <m/>
    <s v="DV-UM"/>
    <m/>
    <m/>
    <x v="1"/>
    <x v="1"/>
    <n v="19051"/>
    <n v="99363"/>
    <n v="2496"/>
  </r>
  <r>
    <n v="7700"/>
    <s v="Pirelli"/>
    <s v="MC01"/>
    <n v="1021"/>
    <n v="109990"/>
    <s v="Liso"/>
    <m/>
    <m/>
    <m/>
    <m/>
    <x v="1"/>
    <x v="1"/>
    <s v="Estoque"/>
    <n v="109990"/>
    <n v="2496"/>
  </r>
  <r>
    <n v="7711"/>
    <s v="Pirelli"/>
    <s v="MC01"/>
    <n v="2721"/>
    <m/>
    <m/>
    <m/>
    <m/>
    <m/>
    <m/>
    <x v="1"/>
    <x v="1"/>
    <n v="8006"/>
    <n v="0"/>
    <n v="2451"/>
  </r>
  <r>
    <n v="7712"/>
    <s v="Pirelli"/>
    <s v="MC01"/>
    <n v="2721"/>
    <m/>
    <m/>
    <m/>
    <m/>
    <m/>
    <m/>
    <x v="1"/>
    <x v="1"/>
    <n v="8006"/>
    <n v="0"/>
    <n v="2451"/>
  </r>
  <r>
    <n v="7713"/>
    <s v="Pirelli"/>
    <s v="MC01"/>
    <n v="2621"/>
    <m/>
    <m/>
    <m/>
    <m/>
    <m/>
    <m/>
    <x v="1"/>
    <x v="1"/>
    <s v="Estoque"/>
    <n v="0"/>
    <n v="2451"/>
  </r>
  <r>
    <n v="7714"/>
    <s v="Pirelli"/>
    <s v="MC01"/>
    <n v="2721"/>
    <m/>
    <m/>
    <m/>
    <m/>
    <m/>
    <m/>
    <x v="1"/>
    <x v="1"/>
    <n v="19053"/>
    <n v="0"/>
    <n v="2451"/>
  </r>
  <r>
    <n v="7717"/>
    <s v="Michelin"/>
    <s v="X-incity"/>
    <n v="3621"/>
    <m/>
    <m/>
    <m/>
    <m/>
    <m/>
    <m/>
    <x v="1"/>
    <x v="1"/>
    <n v="19060"/>
    <n v="0"/>
    <n v="2767"/>
  </r>
  <r>
    <n v="7718"/>
    <s v="Michelin"/>
    <s v="X-incity"/>
    <n v="3621"/>
    <m/>
    <m/>
    <m/>
    <m/>
    <m/>
    <m/>
    <x v="1"/>
    <x v="1"/>
    <n v="19060"/>
    <n v="0"/>
    <n v="2767"/>
  </r>
  <r>
    <n v="7719"/>
    <s v="Michelin"/>
    <s v="X-incity"/>
    <n v="3621"/>
    <m/>
    <m/>
    <m/>
    <m/>
    <m/>
    <m/>
    <x v="1"/>
    <x v="1"/>
    <n v="19052"/>
    <n v="0"/>
    <n v="2767"/>
  </r>
  <r>
    <n v="7720"/>
    <s v="Michelin"/>
    <s v="X-incity"/>
    <n v="3621"/>
    <m/>
    <m/>
    <m/>
    <m/>
    <m/>
    <m/>
    <x v="1"/>
    <x v="1"/>
    <n v="19052"/>
    <n v="0"/>
    <n v="2767"/>
  </r>
  <r>
    <n v="7721"/>
    <s v="Michelin"/>
    <s v="X-incity"/>
    <n v="3621"/>
    <m/>
    <m/>
    <m/>
    <m/>
    <m/>
    <m/>
    <x v="1"/>
    <x v="1"/>
    <n v="19056"/>
    <n v="0"/>
    <n v="2767"/>
  </r>
  <r>
    <n v="7722"/>
    <s v="Michelin"/>
    <s v="X-incity"/>
    <n v="3621"/>
    <m/>
    <m/>
    <m/>
    <m/>
    <m/>
    <m/>
    <x v="1"/>
    <x v="1"/>
    <n v="19056"/>
    <n v="0"/>
    <n v="2767"/>
  </r>
  <r>
    <n v="7736"/>
    <s v="Michelin"/>
    <s v="X-incity"/>
    <s v="0921"/>
    <m/>
    <m/>
    <m/>
    <m/>
    <m/>
    <m/>
    <x v="1"/>
    <x v="1"/>
    <n v="8002"/>
    <n v="0"/>
    <n v="2767"/>
  </r>
  <r>
    <n v="7737"/>
    <s v="Michelin"/>
    <s v="X-incity"/>
    <n v="2221"/>
    <m/>
    <m/>
    <m/>
    <m/>
    <m/>
    <m/>
    <x v="1"/>
    <x v="1"/>
    <n v="8002"/>
    <n v="0"/>
    <n v="2767"/>
  </r>
  <r>
    <n v="7738"/>
    <s v="Michelin"/>
    <s v="X-incity"/>
    <n v="5121"/>
    <m/>
    <m/>
    <m/>
    <m/>
    <m/>
    <m/>
    <x v="1"/>
    <x v="1"/>
    <n v="19059"/>
    <n v="0"/>
    <n v="2933"/>
  </r>
  <r>
    <n v="7739"/>
    <s v="Michelin"/>
    <s v="X-incity"/>
    <n v="5121"/>
    <m/>
    <m/>
    <m/>
    <m/>
    <m/>
    <m/>
    <x v="1"/>
    <x v="1"/>
    <n v="19059"/>
    <n v="0"/>
    <n v="2933"/>
  </r>
  <r>
    <n v="7740"/>
    <s v="Michelin"/>
    <s v="X-incity"/>
    <n v="5121"/>
    <m/>
    <m/>
    <m/>
    <m/>
    <m/>
    <m/>
    <x v="1"/>
    <x v="1"/>
    <n v="19057"/>
    <n v="0"/>
    <n v="2933"/>
  </r>
  <r>
    <n v="7741"/>
    <s v="Michelin"/>
    <s v="X-incity"/>
    <n v="5121"/>
    <m/>
    <m/>
    <m/>
    <m/>
    <m/>
    <m/>
    <x v="1"/>
    <x v="1"/>
    <n v="19057"/>
    <n v="0"/>
    <n v="2933"/>
  </r>
  <r>
    <n v="7742"/>
    <s v="Michelin"/>
    <s v="X-incity"/>
    <n v="5121"/>
    <m/>
    <m/>
    <m/>
    <m/>
    <m/>
    <m/>
    <x v="1"/>
    <x v="1"/>
    <n v="19055"/>
    <n v="0"/>
    <n v="2933"/>
  </r>
  <r>
    <n v="7743"/>
    <s v="Michelin"/>
    <s v="X-incity"/>
    <n v="5121"/>
    <m/>
    <m/>
    <m/>
    <m/>
    <m/>
    <m/>
    <x v="1"/>
    <x v="1"/>
    <n v="19055"/>
    <n v="0"/>
    <n v="2933"/>
  </r>
  <r>
    <n v="7755"/>
    <s v="Michelin"/>
    <s v="X-incity"/>
    <s v="0222"/>
    <m/>
    <m/>
    <m/>
    <m/>
    <m/>
    <m/>
    <x v="1"/>
    <x v="1"/>
    <n v="19058"/>
    <n v="0"/>
    <n v="2933"/>
  </r>
  <r>
    <n v="7756"/>
    <s v="Michelin"/>
    <s v="X-incity"/>
    <s v="0322"/>
    <m/>
    <m/>
    <m/>
    <m/>
    <m/>
    <m/>
    <x v="1"/>
    <x v="1"/>
    <n v="19058"/>
    <n v="0"/>
    <n v="2933"/>
  </r>
  <r>
    <n v="7757"/>
    <s v="Michelin"/>
    <s v="X-incity"/>
    <s v="0322"/>
    <m/>
    <m/>
    <m/>
    <m/>
    <m/>
    <m/>
    <x v="1"/>
    <x v="1"/>
    <n v="8006"/>
    <n v="0"/>
    <n v="2933"/>
  </r>
  <r>
    <n v="7758"/>
    <s v="Michelin"/>
    <s v="X-incity"/>
    <s v="0222"/>
    <m/>
    <s v="Furado"/>
    <m/>
    <m/>
    <m/>
    <m/>
    <x v="1"/>
    <x v="1"/>
    <n v="19058"/>
    <n v="0"/>
    <n v="2933"/>
  </r>
  <r>
    <n v="7759"/>
    <s v="Michelin"/>
    <s v="X-incity"/>
    <s v="0222"/>
    <m/>
    <m/>
    <m/>
    <m/>
    <m/>
    <m/>
    <x v="1"/>
    <x v="1"/>
    <n v="8009"/>
    <n v="0"/>
    <n v="1143.8699999999999"/>
  </r>
  <r>
    <n v="7770"/>
    <s v="Michelin"/>
    <s v="X-incity"/>
    <s v="0222"/>
    <m/>
    <m/>
    <m/>
    <m/>
    <m/>
    <m/>
    <x v="1"/>
    <x v="1"/>
    <n v="8004"/>
    <n v="0"/>
    <n v="3358"/>
  </r>
  <r>
    <n v="7771"/>
    <s v="Michelin"/>
    <s v="X-incity"/>
    <s v="0222"/>
    <m/>
    <m/>
    <m/>
    <m/>
    <m/>
    <m/>
    <x v="1"/>
    <x v="1"/>
    <n v="8004"/>
    <n v="0"/>
    <n v="3358"/>
  </r>
  <r>
    <n v="7786"/>
    <s v="Michelin"/>
    <s v="X-incity"/>
    <s v="0922"/>
    <m/>
    <m/>
    <m/>
    <m/>
    <m/>
    <m/>
    <x v="1"/>
    <x v="1"/>
    <n v="8009"/>
    <n v="0"/>
    <n v="3358"/>
  </r>
  <r>
    <n v="7787"/>
    <s v="Michelin"/>
    <s v="X-incity"/>
    <s v="0922"/>
    <m/>
    <m/>
    <m/>
    <m/>
    <m/>
    <m/>
    <x v="1"/>
    <x v="1"/>
    <n v="19054"/>
    <n v="0"/>
    <n v="3358"/>
  </r>
  <r>
    <n v="7788"/>
    <s v="Michelin"/>
    <s v="X-incity"/>
    <s v="2022"/>
    <m/>
    <m/>
    <m/>
    <m/>
    <m/>
    <m/>
    <x v="1"/>
    <x v="1"/>
    <n v="19054"/>
    <n v="0"/>
    <n v="3358"/>
  </r>
  <r>
    <n v="7789"/>
    <s v="Michelin"/>
    <s v="X-incity"/>
    <s v="0922"/>
    <m/>
    <m/>
    <m/>
    <m/>
    <m/>
    <m/>
    <x v="1"/>
    <x v="1"/>
    <n v="19051"/>
    <n v="0"/>
    <n v="3358"/>
  </r>
  <r>
    <n v="7790"/>
    <s v="Michelin"/>
    <s v="X-incity"/>
    <s v="1122"/>
    <m/>
    <m/>
    <m/>
    <m/>
    <m/>
    <m/>
    <x v="1"/>
    <x v="1"/>
    <n v="19051"/>
    <n v="0"/>
    <n v="3358"/>
  </r>
  <r>
    <n v="7791"/>
    <s v="Michelin"/>
    <s v="X-incity"/>
    <s v="1122"/>
    <m/>
    <m/>
    <m/>
    <m/>
    <m/>
    <m/>
    <x v="1"/>
    <x v="1"/>
    <n v="19053"/>
    <n v="0"/>
    <n v="3358"/>
  </r>
  <r>
    <n v="7792"/>
    <s v="Michelin"/>
    <s v="X-incity"/>
    <s v="0922"/>
    <m/>
    <m/>
    <m/>
    <m/>
    <m/>
    <m/>
    <x v="1"/>
    <x v="1"/>
    <n v="19053"/>
    <n v="0"/>
    <n v="3358"/>
  </r>
  <r>
    <n v="7793"/>
    <s v="Michelin"/>
    <s v="X-incity"/>
    <s v="1122"/>
    <m/>
    <m/>
    <m/>
    <m/>
    <m/>
    <m/>
    <x v="1"/>
    <x v="1"/>
    <n v="19058"/>
    <n v="0"/>
    <n v="3358"/>
  </r>
  <r>
    <n v="7794"/>
    <s v="Michelin"/>
    <s v="X-incity"/>
    <s v="2322"/>
    <m/>
    <m/>
    <m/>
    <m/>
    <m/>
    <m/>
    <x v="1"/>
    <x v="1"/>
    <n v="19058"/>
    <n v="0"/>
    <n v="3358"/>
  </r>
  <r>
    <n v="7795"/>
    <s v="Michelin"/>
    <s v="X-incity"/>
    <s v="2422"/>
    <m/>
    <m/>
    <m/>
    <m/>
    <m/>
    <m/>
    <x v="1"/>
    <x v="1"/>
    <s v="Estoque"/>
    <n v="0"/>
    <n v="3358"/>
  </r>
  <r>
    <n v="7796"/>
    <s v="Michelin"/>
    <s v="X-incity"/>
    <s v="2322"/>
    <m/>
    <m/>
    <m/>
    <m/>
    <m/>
    <m/>
    <x v="1"/>
    <x v="1"/>
    <s v="Estoque"/>
    <n v="0"/>
    <n v="3358"/>
  </r>
  <r>
    <n v="15428"/>
    <s v="Michelin"/>
    <s v="X-incity"/>
    <s v="5121"/>
    <m/>
    <m/>
    <m/>
    <m/>
    <m/>
    <m/>
    <x v="1"/>
    <x v="1"/>
    <n v="19057"/>
    <n v="0"/>
    <n v="3358"/>
  </r>
  <r>
    <n v="15429"/>
    <s v="Michelin"/>
    <s v="X-incity"/>
    <s v="5121"/>
    <m/>
    <m/>
    <m/>
    <m/>
    <m/>
    <m/>
    <x v="1"/>
    <x v="1"/>
    <n v="19055"/>
    <n v="0"/>
    <n v="3358"/>
  </r>
  <r>
    <n v="7818"/>
    <s v="Pirelli"/>
    <s v="MC01"/>
    <s v="4222"/>
    <m/>
    <m/>
    <m/>
    <m/>
    <m/>
    <m/>
    <x v="1"/>
    <x v="1"/>
    <s v="Estoque"/>
    <n v="0"/>
    <n v="2900"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n v="0"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  <r>
    <m/>
    <m/>
    <m/>
    <m/>
    <m/>
    <m/>
    <m/>
    <m/>
    <m/>
    <m/>
    <x v="1"/>
    <x v="1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5">
  <r>
    <n v="6727"/>
    <s v="Goodyear"/>
    <x v="0"/>
    <n v="4314"/>
    <n v="109911"/>
    <x v="0"/>
    <n v="104638"/>
    <s v="DVR-M"/>
    <s v="Liso"/>
    <n v="29183"/>
    <s v="VL-110L"/>
    <s v="Furado"/>
    <s v="Sucata"/>
    <n v="243732"/>
    <n v="1117"/>
  </r>
  <r>
    <n v="6728"/>
    <s v="Goodyear"/>
    <x v="0"/>
    <n v="4314"/>
    <n v="64188"/>
    <x v="0"/>
    <n v="107259"/>
    <s v="G665"/>
    <s v="Liso"/>
    <m/>
    <m/>
    <m/>
    <s v="Sucata"/>
    <n v="171447"/>
    <n v="1117"/>
  </r>
  <r>
    <n v="6729"/>
    <s v="Goodyear"/>
    <x v="0"/>
    <n v="4314"/>
    <n v="83250"/>
    <x v="1"/>
    <m/>
    <m/>
    <m/>
    <m/>
    <m/>
    <m/>
    <m/>
    <n v="83250"/>
    <n v="1117"/>
  </r>
  <r>
    <n v="6730"/>
    <s v="Goodyear"/>
    <x v="0"/>
    <n v="4314"/>
    <n v="81348"/>
    <x v="0"/>
    <n v="80912"/>
    <s v="G665"/>
    <s v="Infiltração"/>
    <m/>
    <m/>
    <m/>
    <s v="Sucata"/>
    <n v="162260"/>
    <n v="1117"/>
  </r>
  <r>
    <n v="6731"/>
    <s v="Goodyear"/>
    <x v="0"/>
    <n v="4314"/>
    <n v="122781"/>
    <x v="1"/>
    <m/>
    <m/>
    <m/>
    <m/>
    <m/>
    <m/>
    <m/>
    <n v="122781"/>
    <n v="1117"/>
  </r>
  <r>
    <n v="6732"/>
    <s v="Goodyear"/>
    <x v="0"/>
    <s v="4314"/>
    <n v="77296"/>
    <x v="0"/>
    <n v="77760"/>
    <s v="DVR-M"/>
    <s v="Liso"/>
    <n v="75993"/>
    <s v="G600"/>
    <s v="Liso"/>
    <s v="Sucata"/>
    <n v="231049"/>
    <n v="1117"/>
  </r>
  <r>
    <n v="6733"/>
    <s v="Goodyear"/>
    <x v="0"/>
    <n v="4314"/>
    <n v="71467"/>
    <x v="0"/>
    <n v="91077"/>
    <s v="G665"/>
    <s v="Liso"/>
    <n v="20694"/>
    <s v="G665"/>
    <s v="Infiltração"/>
    <s v="Sucata"/>
    <n v="183238"/>
    <n v="1117"/>
  </r>
  <r>
    <n v="6734"/>
    <s v="Goodyear"/>
    <x v="0"/>
    <n v="4314"/>
    <n v="75316"/>
    <x v="0"/>
    <n v="95016"/>
    <s v="DVR-M"/>
    <s v="Liso"/>
    <n v="95633"/>
    <s v="DVR-M"/>
    <s v="Infiltração"/>
    <s v="Sucata"/>
    <n v="265965"/>
    <n v="1117"/>
  </r>
  <r>
    <n v="6735"/>
    <s v="Goodyear"/>
    <x v="0"/>
    <n v="4314"/>
    <n v="90226"/>
    <x v="0"/>
    <n v="51249"/>
    <s v="G665"/>
    <s v="Infiltração"/>
    <m/>
    <m/>
    <m/>
    <s v="Sucata"/>
    <n v="141475"/>
    <n v="1117"/>
  </r>
  <r>
    <n v="6752"/>
    <s v="Goodyear"/>
    <x v="0"/>
    <n v="515"/>
    <n v="62257"/>
    <x v="2"/>
    <n v="119271"/>
    <s v="G665"/>
    <s v="Liso"/>
    <n v="29668"/>
    <s v="G665"/>
    <s v="Infiltração"/>
    <s v="Sucata"/>
    <n v="211196"/>
    <n v="1117"/>
  </r>
  <r>
    <n v="6753"/>
    <s v="Goodyear"/>
    <x v="0"/>
    <n v="515"/>
    <n v="104492"/>
    <x v="0"/>
    <n v="79084"/>
    <s v="G665"/>
    <s v="Liso"/>
    <n v="45948"/>
    <s v="G665"/>
    <s v="Liso"/>
    <s v="Sucata"/>
    <n v="229524"/>
    <n v="1117"/>
  </r>
  <r>
    <n v="6754"/>
    <s v="Goodyear"/>
    <x v="0"/>
    <n v="515"/>
    <n v="80428"/>
    <x v="2"/>
    <n v="95016"/>
    <s v="G665"/>
    <s v="Liso"/>
    <m/>
    <m/>
    <m/>
    <s v="Sucata"/>
    <n v="175444"/>
    <n v="1117"/>
  </r>
  <r>
    <n v="6755"/>
    <s v="Goodyear"/>
    <x v="0"/>
    <n v="515"/>
    <n v="107971"/>
    <x v="0"/>
    <n v="59027"/>
    <s v="DVR-M"/>
    <s v="Liso"/>
    <n v="46742"/>
    <s v="VL-110L"/>
    <s v="Liso"/>
    <s v="Sucata"/>
    <n v="213740"/>
    <n v="1117"/>
  </r>
  <r>
    <n v="6756"/>
    <s v="Goodyear"/>
    <x v="0"/>
    <n v="515"/>
    <n v="104564"/>
    <x v="0"/>
    <n v="72481"/>
    <s v="G665"/>
    <s v="Liso"/>
    <n v="35522"/>
    <s v="G665"/>
    <s v="Infiltração"/>
    <s v="Sucata"/>
    <n v="212567"/>
    <n v="1117"/>
  </r>
  <r>
    <n v="6757"/>
    <s v="Goodyear"/>
    <x v="0"/>
    <n v="515"/>
    <n v="94368"/>
    <x v="0"/>
    <n v="77456"/>
    <s v="DVR-M"/>
    <s v="Liso"/>
    <n v="19148"/>
    <s v="VL-110L"/>
    <s v="Infiltração"/>
    <s v="Sucata"/>
    <n v="190972"/>
    <n v="1117"/>
  </r>
  <r>
    <n v="6758"/>
    <s v="Goodyear"/>
    <x v="0"/>
    <n v="515"/>
    <n v="78579"/>
    <x v="0"/>
    <n v="69492"/>
    <s v="DVR-M"/>
    <s v="Furado"/>
    <n v="86284"/>
    <s v="DVR-M"/>
    <s v="Liso"/>
    <s v="Sucata"/>
    <n v="234355"/>
    <n v="1117"/>
  </r>
  <r>
    <n v="6759"/>
    <s v="Goodyear"/>
    <x v="0"/>
    <n v="515"/>
    <n v="79044"/>
    <x v="0"/>
    <n v="40043"/>
    <s v="G665"/>
    <s v="Liso"/>
    <n v="18494"/>
    <s v="G665"/>
    <s v="Infiltração"/>
    <s v="Sucata"/>
    <n v="137581"/>
    <n v="1117"/>
  </r>
  <r>
    <n v="6760"/>
    <s v="Goodyear"/>
    <x v="0"/>
    <n v="515"/>
    <n v="34644"/>
    <x v="2"/>
    <n v="102700"/>
    <s v="G665"/>
    <s v="Liso"/>
    <n v="33435"/>
    <s v="G665"/>
    <s v="Infiltração"/>
    <s v="Sucata"/>
    <n v="170779"/>
    <n v="1117"/>
  </r>
  <r>
    <n v="6761"/>
    <s v="Goodyear"/>
    <x v="0"/>
    <n v="515"/>
    <n v="34644"/>
    <x v="2"/>
    <n v="119271"/>
    <s v="MC01"/>
    <s v="Liso"/>
    <n v="47119"/>
    <s v="G600"/>
    <s v="Liso"/>
    <s v="Sucata"/>
    <n v="201034"/>
    <n v="1117"/>
  </r>
  <r>
    <n v="6770"/>
    <s v="Goodyear"/>
    <x v="0"/>
    <n v="1115"/>
    <n v="64877"/>
    <x v="0"/>
    <n v="112190"/>
    <s v="DVR-M"/>
    <s v="Liso"/>
    <n v="48989"/>
    <s v="VL-110L"/>
    <s v="Infiltração"/>
    <s v="Sucata"/>
    <n v="226056"/>
    <n v="1117"/>
  </r>
  <r>
    <n v="6771"/>
    <s v="Goodyear"/>
    <x v="0"/>
    <n v="1115"/>
    <n v="87085"/>
    <x v="0"/>
    <n v="78710"/>
    <s v="DVR-M"/>
    <s v="Liso"/>
    <n v="45567"/>
    <s v="VL-110L"/>
    <s v="Liso"/>
    <s v="Sucata"/>
    <n v="211362"/>
    <n v="1117"/>
  </r>
  <r>
    <n v="6772"/>
    <s v="Goodyear"/>
    <x v="0"/>
    <n v="1115"/>
    <n v="64264"/>
    <x v="0"/>
    <n v="113377"/>
    <s v="DVR-M"/>
    <s v="Liso"/>
    <n v="53770"/>
    <s v="VL-110L"/>
    <s v="Liso"/>
    <s v="Sucata"/>
    <n v="231411"/>
    <n v="1117"/>
  </r>
  <r>
    <n v="6773"/>
    <s v="Goodyear"/>
    <x v="0"/>
    <n v="1115"/>
    <n v="98579"/>
    <x v="0"/>
    <n v="76307"/>
    <s v="DVR-M"/>
    <s v="Liso"/>
    <n v="58167"/>
    <s v="VL-110L"/>
    <s v="Liso"/>
    <s v="Sucata"/>
    <n v="233053"/>
    <n v="1117"/>
  </r>
  <r>
    <n v="6774"/>
    <s v="Goodyear"/>
    <x v="0"/>
    <n v="1115"/>
    <n v="98579"/>
    <x v="0"/>
    <n v="76307"/>
    <s v="DVR-M"/>
    <s v="Liso"/>
    <n v="58167"/>
    <s v="VL-110L"/>
    <s v="Liso"/>
    <s v="Sucata"/>
    <n v="233053"/>
    <n v="1117"/>
  </r>
  <r>
    <n v="6775"/>
    <s v="Goodyear"/>
    <x v="0"/>
    <n v="1115"/>
    <n v="66643"/>
    <x v="0"/>
    <n v="113377"/>
    <s v="DVR-M"/>
    <s v="Liso"/>
    <n v="68344"/>
    <s v="VL-110L"/>
    <s v="Liso"/>
    <s v="Sucata"/>
    <n v="248364"/>
    <n v="1117"/>
  </r>
  <r>
    <n v="6776"/>
    <s v="Goodyear"/>
    <x v="0"/>
    <n v="1115"/>
    <n v="66643"/>
    <x v="0"/>
    <n v="88331"/>
    <s v="DVR-M"/>
    <s v="Liso"/>
    <n v="56272"/>
    <s v="VL-110L"/>
    <s v="Infiltração"/>
    <s v="Sucata"/>
    <n v="211246"/>
    <n v="1117"/>
  </r>
  <r>
    <n v="6777"/>
    <s v="Goodyear"/>
    <x v="0"/>
    <n v="1115"/>
    <n v="82560"/>
    <x v="0"/>
    <n v="79084"/>
    <s v="G665"/>
    <s v="Liso"/>
    <n v="8125"/>
    <s v="G665"/>
    <s v="Furado"/>
    <s v="Sucata"/>
    <n v="169769"/>
    <n v="1117"/>
  </r>
  <r>
    <n v="6786"/>
    <s v="Goodyear"/>
    <x v="0"/>
    <n v="1615"/>
    <n v="84006"/>
    <x v="0"/>
    <n v="86268"/>
    <s v="G665"/>
    <s v="Liso"/>
    <n v="57228"/>
    <s v="VL-110L"/>
    <s v="Liso"/>
    <s v="Sucata"/>
    <n v="227502"/>
    <n v="1117"/>
  </r>
  <r>
    <n v="6787"/>
    <s v="Goodyear"/>
    <x v="0"/>
    <n v="1615"/>
    <n v="49153"/>
    <x v="0"/>
    <n v="99647"/>
    <s v="DVR-M"/>
    <s v="Liso"/>
    <n v="60010"/>
    <s v="VL-110L"/>
    <s v="Liso"/>
    <s v="Sucata"/>
    <n v="208810"/>
    <n v="1117"/>
  </r>
  <r>
    <n v="6788"/>
    <s v="Goodyear"/>
    <x v="0"/>
    <n v="1615"/>
    <n v="81023"/>
    <x v="0"/>
    <n v="77456"/>
    <s v="DVR-M"/>
    <s v="Liso"/>
    <n v="42754"/>
    <s v="VL-110L"/>
    <s v="Liso"/>
    <s v="Sucata"/>
    <n v="201233"/>
    <n v="1117"/>
  </r>
  <r>
    <n v="6789"/>
    <s v="Goodyear"/>
    <x v="0"/>
    <n v="1615"/>
    <n v="107377"/>
    <x v="0"/>
    <n v="93124"/>
    <s v="G665"/>
    <s v="Liso"/>
    <n v="37535"/>
    <s v="VL-110L"/>
    <s v="Furado"/>
    <s v="Sucata"/>
    <n v="238036"/>
    <n v="1117"/>
  </r>
  <r>
    <n v="6792"/>
    <s v="Goodyear"/>
    <x v="0"/>
    <n v="1615"/>
    <n v="57492"/>
    <x v="2"/>
    <n v="87528"/>
    <s v="DVR-M"/>
    <s v="Liso"/>
    <n v="63723"/>
    <s v="G600"/>
    <s v="Liso"/>
    <s v="Sucata"/>
    <n v="208743"/>
    <n v="1117"/>
  </r>
  <r>
    <n v="6793"/>
    <s v="Goodyear"/>
    <x v="0"/>
    <n v="1615"/>
    <n v="62249"/>
    <x v="3"/>
    <n v="72481"/>
    <s v="DVR-M"/>
    <s v="Liso"/>
    <n v="97462"/>
    <s v="DVR-M"/>
    <s v="Liso"/>
    <s v="Sucata"/>
    <n v="232192"/>
    <n v="1117"/>
  </r>
  <r>
    <n v="6826"/>
    <s v="Goodyear"/>
    <x v="0"/>
    <n v="3315"/>
    <n v="95009"/>
    <x v="0"/>
    <n v="90713"/>
    <s v="DVR-M"/>
    <s v="Liso"/>
    <m/>
    <m/>
    <m/>
    <s v="Sucata"/>
    <n v="185722"/>
    <n v="1117"/>
  </r>
  <r>
    <n v="6827"/>
    <s v="Goodyear"/>
    <x v="0"/>
    <n v="3315"/>
    <n v="50337"/>
    <x v="0"/>
    <n v="65844"/>
    <s v="DVR-M"/>
    <s v="Liso"/>
    <n v="52787"/>
    <s v="VL-110L"/>
    <s v="Liso"/>
    <s v="Sucata"/>
    <n v="168968"/>
    <n v="1117"/>
  </r>
  <r>
    <n v="6828"/>
    <s v="Goodyear"/>
    <x v="0"/>
    <n v="3315"/>
    <n v="64731"/>
    <x v="0"/>
    <n v="78314"/>
    <s v="DVR-M"/>
    <s v="Liso"/>
    <n v="42294"/>
    <s v="VL-110L"/>
    <s v="Liso"/>
    <s v="Sucata"/>
    <n v="185339"/>
    <n v="1117"/>
  </r>
  <r>
    <n v="6829"/>
    <s v="Goodyear"/>
    <x v="0"/>
    <n v="3315"/>
    <n v="129606"/>
    <x v="0"/>
    <n v="84157"/>
    <s v="G665"/>
    <s v="Liso"/>
    <n v="35768"/>
    <s v="VL-110L"/>
    <s v="Infiltração"/>
    <s v="Sucata"/>
    <n v="249531"/>
    <n v="1117"/>
  </r>
  <r>
    <n v="6830"/>
    <s v="Goodyear"/>
    <x v="0"/>
    <n v="3315"/>
    <n v="96690"/>
    <x v="0"/>
    <n v="114425"/>
    <s v="DVR-M"/>
    <s v="Liso"/>
    <n v="48548"/>
    <s v="VL-110L"/>
    <s v="s/ dados"/>
    <m/>
    <n v="259663"/>
    <n v="1117"/>
  </r>
  <r>
    <n v="6831"/>
    <s v="Goodyear"/>
    <x v="0"/>
    <n v="3315"/>
    <n v="112988"/>
    <x v="0"/>
    <n v="53521"/>
    <s v="DVR-M"/>
    <s v="Furado"/>
    <m/>
    <m/>
    <m/>
    <s v="Sucata"/>
    <n v="166509"/>
    <n v="1117"/>
  </r>
  <r>
    <n v="6832"/>
    <s v="Goodyear"/>
    <x v="0"/>
    <n v="3215"/>
    <n v="50956"/>
    <x v="0"/>
    <n v="76307"/>
    <s v="DVR-M"/>
    <s v="Liso"/>
    <n v="58734"/>
    <s v="VL-110L"/>
    <s v="Liso"/>
    <s v="Sucata"/>
    <n v="185997"/>
    <n v="1117"/>
  </r>
  <r>
    <n v="6833"/>
    <s v="Goodyear"/>
    <x v="0"/>
    <n v="3215"/>
    <n v="95420"/>
    <x v="0"/>
    <n v="96646"/>
    <s v="G665"/>
    <s v="Liso"/>
    <n v="20231"/>
    <s v="VL-110L"/>
    <s v="Infiltração"/>
    <s v="Sucata"/>
    <n v="212297"/>
    <n v="1117"/>
  </r>
  <r>
    <n v="6834"/>
    <s v="Goodyear"/>
    <x v="0"/>
    <n v="3215"/>
    <n v="83847"/>
    <x v="0"/>
    <n v="69532"/>
    <s v="G665"/>
    <s v="Liso"/>
    <n v="37702"/>
    <s v="VL-110L"/>
    <s v="Infiltração"/>
    <s v="Sucata"/>
    <n v="191081"/>
    <n v="1117"/>
  </r>
  <r>
    <n v="6835"/>
    <s v="Goodyear"/>
    <x v="0"/>
    <n v="3215"/>
    <n v="97923"/>
    <x v="0"/>
    <n v="68686"/>
    <s v="G665"/>
    <s v="Liso"/>
    <n v="3422"/>
    <s v="VL-110L"/>
    <s v="Infiltração"/>
    <s v="Sucata"/>
    <n v="170031"/>
    <n v="1117"/>
  </r>
  <r>
    <n v="6846"/>
    <s v="Goodyear"/>
    <x v="0"/>
    <n v="3915"/>
    <n v="93611"/>
    <x v="0"/>
    <n v="79412"/>
    <s v="G665"/>
    <s v="Furado"/>
    <n v="44210"/>
    <s v="VL-110L"/>
    <s v="Infiltração"/>
    <s v="Sucata"/>
    <n v="217233"/>
    <n v="1117"/>
  </r>
  <r>
    <n v="6847"/>
    <s v="Goodyear"/>
    <x v="0"/>
    <n v="3915"/>
    <n v="79664"/>
    <x v="0"/>
    <n v="68686"/>
    <s v="G665"/>
    <s v="Liso"/>
    <n v="42468"/>
    <s v="VL-110L"/>
    <s v="Liso"/>
    <s v="Sucata"/>
    <n v="190818"/>
    <n v="1117"/>
  </r>
  <r>
    <n v="6848"/>
    <s v="Goodyear"/>
    <x v="0"/>
    <n v="3915"/>
    <n v="66603"/>
    <x v="0"/>
    <n v="69354"/>
    <s v="DVR-M"/>
    <s v="Liso"/>
    <n v="60892"/>
    <s v="VL-110L"/>
    <s v="Liso"/>
    <s v="Sucata"/>
    <n v="196849"/>
    <n v="1117"/>
  </r>
  <r>
    <n v="6849"/>
    <s v="Goodyear"/>
    <x v="0"/>
    <n v="3915"/>
    <n v="106916"/>
    <x v="0"/>
    <m/>
    <m/>
    <m/>
    <m/>
    <m/>
    <m/>
    <s v="Sucata"/>
    <n v="106916"/>
    <n v="1117"/>
  </r>
  <r>
    <n v="6856"/>
    <s v="Pirelli"/>
    <x v="1"/>
    <n v="2715"/>
    <n v="100345"/>
    <x v="0"/>
    <n v="94612"/>
    <s v="DVR-M"/>
    <s v="Liso"/>
    <n v="23700"/>
    <s v="VL-110L"/>
    <s v="s/ dados"/>
    <m/>
    <n v="218657"/>
    <n v="1240"/>
  </r>
  <r>
    <n v="6857"/>
    <s v="Pirelli"/>
    <x v="1"/>
    <n v="4015"/>
    <n v="67632"/>
    <x v="2"/>
    <n v="96646"/>
    <s v="DVR-M"/>
    <s v="Liso"/>
    <n v="31032"/>
    <s v="VL-110L"/>
    <s v="Furado"/>
    <s v="Sucata"/>
    <n v="195310"/>
    <n v="1240"/>
  </r>
  <r>
    <n v="6858"/>
    <s v="Pirelli"/>
    <x v="1"/>
    <n v="4115"/>
    <n v="85407"/>
    <x v="3"/>
    <m/>
    <m/>
    <m/>
    <m/>
    <m/>
    <m/>
    <s v="Sucata"/>
    <n v="85407"/>
    <n v="1240"/>
  </r>
  <r>
    <n v="6859"/>
    <s v="Pirelli"/>
    <x v="1"/>
    <n v="4215"/>
    <n v="68698"/>
    <x v="3"/>
    <n v="56518"/>
    <s v="G665"/>
    <s v="Furado"/>
    <m/>
    <m/>
    <m/>
    <s v="Sucata"/>
    <n v="125216"/>
    <n v="1240"/>
  </r>
  <r>
    <n v="6860"/>
    <s v="Pirelli"/>
    <x v="1"/>
    <n v="2515"/>
    <n v="66768"/>
    <x v="3"/>
    <n v="51335"/>
    <s v="DVR-M"/>
    <s v="Liso"/>
    <n v="62945"/>
    <s v="VL-110L"/>
    <s v="Liso"/>
    <s v="Sucata"/>
    <n v="181048"/>
    <n v="1240"/>
  </r>
  <r>
    <n v="6861"/>
    <s v="Pirelli"/>
    <x v="1"/>
    <n v="4115"/>
    <n v="47715"/>
    <x v="3"/>
    <n v="56662"/>
    <s v="G665"/>
    <s v="Furado"/>
    <n v="30406"/>
    <s v="G665"/>
    <s v="Infiltração"/>
    <s v="Sucata"/>
    <n v="134783"/>
    <n v="1240"/>
  </r>
  <r>
    <n v="6862"/>
    <s v="Pirelli"/>
    <x v="1"/>
    <n v="2615"/>
    <n v="79400"/>
    <x v="0"/>
    <n v="70946"/>
    <s v="DVR-M"/>
    <s v="Furado"/>
    <m/>
    <m/>
    <m/>
    <s v="Sucata"/>
    <n v="150346"/>
    <n v="1240"/>
  </r>
  <r>
    <n v="6863"/>
    <s v="Pirelli"/>
    <x v="1"/>
    <n v="4015"/>
    <n v="95601"/>
    <x v="0"/>
    <n v="94612"/>
    <s v="DVR-M"/>
    <s v="Liso"/>
    <n v="23700"/>
    <s v="VL-110L"/>
    <s v="s/ dados"/>
    <m/>
    <n v="213913"/>
    <n v="1240"/>
  </r>
  <r>
    <n v="6864"/>
    <s v="Pirelli"/>
    <x v="1"/>
    <n v="4215"/>
    <n v="83782"/>
    <x v="4"/>
    <m/>
    <m/>
    <m/>
    <m/>
    <m/>
    <m/>
    <s v="Sucata"/>
    <n v="83782"/>
    <n v="1240"/>
  </r>
  <r>
    <n v="6865"/>
    <s v="Pirelli"/>
    <x v="1"/>
    <n v="2715"/>
    <n v="142357"/>
    <x v="0"/>
    <n v="90713"/>
    <s v="DVR-M"/>
    <s v="Liso"/>
    <n v="38673"/>
    <s v="VL-110L"/>
    <s v="s/ dados"/>
    <m/>
    <n v="271743"/>
    <n v="1240"/>
  </r>
  <r>
    <n v="6866"/>
    <s v="Pirelli"/>
    <x v="1"/>
    <n v="2315"/>
    <n v="88232"/>
    <x v="0"/>
    <n v="88635"/>
    <s v="DVR-M"/>
    <s v="Liso"/>
    <n v="52000"/>
    <s v="VL-110L"/>
    <s v="Liso"/>
    <s v="Sucata"/>
    <n v="228867"/>
    <n v="1240"/>
  </r>
  <r>
    <n v="6867"/>
    <s v="Pirelli"/>
    <x v="1"/>
    <n v="2515"/>
    <n v="114620"/>
    <x v="0"/>
    <n v="44908"/>
    <s v="DVR-M"/>
    <s v="s/ dados"/>
    <m/>
    <m/>
    <m/>
    <m/>
    <n v="159528"/>
    <n v="1240"/>
  </r>
  <r>
    <n v="6868"/>
    <s v="Pirelli"/>
    <x v="1"/>
    <n v="2715"/>
    <n v="126422"/>
    <x v="0"/>
    <n v="96055"/>
    <s v="DVR-M"/>
    <s v="Liso"/>
    <n v="30557"/>
    <s v="VL-110L"/>
    <s v="Infiltração"/>
    <s v="Sucata"/>
    <n v="253034"/>
    <n v="1240"/>
  </r>
  <r>
    <n v="6869"/>
    <s v="Pirelli"/>
    <x v="1"/>
    <n v="2715"/>
    <n v="126422"/>
    <x v="0"/>
    <n v="82727"/>
    <s v="DVR-M"/>
    <s v="Furado"/>
    <m/>
    <m/>
    <m/>
    <s v="Sucata"/>
    <n v="209149"/>
    <n v="1240"/>
  </r>
  <r>
    <n v="6870"/>
    <s v="Pirelli"/>
    <x v="1"/>
    <n v="2615"/>
    <n v="88601"/>
    <x v="0"/>
    <n v="102407"/>
    <s v="DVR-M"/>
    <s v="s/ dados"/>
    <m/>
    <m/>
    <m/>
    <m/>
    <n v="191008"/>
    <n v="1280"/>
  </r>
  <r>
    <n v="6871"/>
    <s v="Pirelli"/>
    <x v="1"/>
    <n v="2615"/>
    <n v="115250"/>
    <x v="0"/>
    <n v="107606"/>
    <s v="DVR-M"/>
    <s v="Infiltração"/>
    <m/>
    <m/>
    <m/>
    <s v="Sucata"/>
    <n v="222856"/>
    <n v="1280"/>
  </r>
  <r>
    <n v="6872"/>
    <s v="Pirelli"/>
    <x v="1"/>
    <n v="2615"/>
    <n v="29810"/>
    <x v="0"/>
    <n v="77044"/>
    <s v="DVR-M"/>
    <s v="s/ dados"/>
    <n v="102407"/>
    <s v="DVR-M"/>
    <m/>
    <m/>
    <n v="209261"/>
    <n v="1280"/>
  </r>
  <r>
    <n v="6873"/>
    <s v="Pirelli"/>
    <x v="1"/>
    <n v="3315"/>
    <n v="97557"/>
    <x v="0"/>
    <n v="94612"/>
    <s v="DVR-M"/>
    <s v="Liso"/>
    <n v="48417"/>
    <s v="VL-110L"/>
    <s v="Infiltração"/>
    <s v="Sucata"/>
    <n v="240586"/>
    <n v="1280"/>
  </r>
  <r>
    <n v="6874"/>
    <s v="Pirelli"/>
    <x v="1"/>
    <n v="2615"/>
    <n v="98080"/>
    <x v="0"/>
    <n v="98717"/>
    <s v="DVR-M"/>
    <s v="Infiltração"/>
    <m/>
    <m/>
    <m/>
    <s v="Sucata"/>
    <n v="196797"/>
    <n v="1280"/>
  </r>
  <r>
    <n v="6875"/>
    <s v="Pirelli"/>
    <x v="1"/>
    <n v="2615"/>
    <n v="86175"/>
    <x v="0"/>
    <n v="85984"/>
    <s v="DVR-M"/>
    <s v="Liso"/>
    <m/>
    <m/>
    <m/>
    <s v="Sucata"/>
    <n v="172159"/>
    <n v="1701"/>
  </r>
  <r>
    <n v="6888"/>
    <s v="Pirelli"/>
    <x v="1"/>
    <n v="4415"/>
    <n v="100537"/>
    <x v="0"/>
    <n v="107606"/>
    <s v="DVR-M"/>
    <s v="Liso"/>
    <m/>
    <m/>
    <m/>
    <s v="Sucata"/>
    <n v="208143"/>
    <n v="1701"/>
  </r>
  <r>
    <n v="6889"/>
    <s v="Pirelli"/>
    <x v="1"/>
    <n v="4415"/>
    <n v="123875"/>
    <x v="3"/>
    <m/>
    <m/>
    <m/>
    <m/>
    <m/>
    <m/>
    <s v="Sucata"/>
    <n v="123875"/>
    <n v="1701"/>
  </r>
  <r>
    <n v="6890"/>
    <s v="Pirelli"/>
    <x v="1"/>
    <n v="4415"/>
    <n v="132830"/>
    <x v="0"/>
    <n v="74868"/>
    <s v="DVR-M"/>
    <s v="Liso"/>
    <m/>
    <m/>
    <m/>
    <s v="Sucata"/>
    <n v="207698"/>
    <n v="1701"/>
  </r>
  <r>
    <n v="6891"/>
    <s v="Pirelli"/>
    <x v="1"/>
    <n v="4415"/>
    <n v="96583"/>
    <x v="3"/>
    <m/>
    <m/>
    <m/>
    <m/>
    <m/>
    <m/>
    <s v="Sucata"/>
    <n v="96583"/>
    <n v="1701"/>
  </r>
  <r>
    <n v="6910"/>
    <s v="Pirelli"/>
    <x v="1"/>
    <n v="4515"/>
    <n v="125751"/>
    <x v="0"/>
    <n v="72006"/>
    <s v="DVR-M"/>
    <s v="Infiltração"/>
    <m/>
    <m/>
    <m/>
    <s v="Sucata"/>
    <n v="197757"/>
    <n v="1701"/>
  </r>
  <r>
    <n v="6911"/>
    <s v="Pirelli"/>
    <x v="1"/>
    <n v="4515"/>
    <n v="102115"/>
    <x v="3"/>
    <m/>
    <m/>
    <m/>
    <m/>
    <m/>
    <m/>
    <s v="Sucata"/>
    <n v="102115"/>
    <n v="1701"/>
  </r>
  <r>
    <n v="6912"/>
    <s v="Pirelli"/>
    <x v="1"/>
    <n v="4415"/>
    <n v="101588"/>
    <x v="0"/>
    <n v="97639"/>
    <s v="DVR-M"/>
    <s v="Liso"/>
    <m/>
    <m/>
    <m/>
    <s v="Sucata"/>
    <n v="199227"/>
    <n v="1701"/>
  </r>
  <r>
    <n v="6913"/>
    <s v="Pirelli"/>
    <x v="1"/>
    <n v="4515"/>
    <n v="107149"/>
    <x v="0"/>
    <n v="77115"/>
    <s v="DVR-M"/>
    <s v="Liso"/>
    <m/>
    <m/>
    <m/>
    <s v="Sucata"/>
    <n v="184264"/>
    <n v="1701"/>
  </r>
  <r>
    <n v="6924"/>
    <s v="Pirelli"/>
    <x v="1"/>
    <n v="1116"/>
    <n v="138084"/>
    <x v="0"/>
    <n v="93088"/>
    <s v="DVR-M"/>
    <s v="s/ dados"/>
    <m/>
    <m/>
    <m/>
    <m/>
    <n v="231172"/>
    <n v="1701"/>
  </r>
  <r>
    <n v="6925"/>
    <s v="Pirelli"/>
    <x v="1"/>
    <n v="1116"/>
    <n v="138084"/>
    <x v="0"/>
    <n v="93088"/>
    <s v="DVR-M"/>
    <s v="s/ dados"/>
    <m/>
    <m/>
    <m/>
    <m/>
    <n v="231172"/>
    <n v="1701"/>
  </r>
  <r>
    <n v="6926"/>
    <s v="Pirelli"/>
    <x v="1"/>
    <n v="1116"/>
    <n v="108428"/>
    <x v="0"/>
    <n v="95316"/>
    <s v="BusPlus"/>
    <s v="Liso"/>
    <n v="39631"/>
    <s v="VL-110L"/>
    <s v="Liso"/>
    <s v="Sucata"/>
    <n v="243375"/>
    <n v="1701"/>
  </r>
  <r>
    <n v="6927"/>
    <s v="Pirelli"/>
    <x v="1"/>
    <n v="616"/>
    <n v="108428"/>
    <x v="0"/>
    <n v="95316"/>
    <s v="BusPlus"/>
    <s v="Liso"/>
    <n v="31415"/>
    <s v="VL-110L"/>
    <s v="Infiltração"/>
    <s v="Sucata"/>
    <n v="235159"/>
    <n v="1701"/>
  </r>
  <r>
    <n v="6928"/>
    <s v="Pirelli"/>
    <x v="1"/>
    <n v="1116"/>
    <n v="123045"/>
    <x v="0"/>
    <n v="95316"/>
    <s v="BusPlus"/>
    <s v="Liso"/>
    <n v="35931"/>
    <s v="VL-110L"/>
    <s v="Liso"/>
    <s v="Sucata"/>
    <n v="254292"/>
    <n v="1701"/>
  </r>
  <r>
    <n v="6929"/>
    <s v="Pirelli"/>
    <x v="1"/>
    <n v="1116"/>
    <n v="114514"/>
    <x v="0"/>
    <n v="67410"/>
    <s v="DVR-M"/>
    <s v="s/ dados"/>
    <m/>
    <m/>
    <m/>
    <m/>
    <n v="181924"/>
    <n v="1701"/>
  </r>
  <r>
    <n v="6930"/>
    <s v="Pirelli"/>
    <x v="1"/>
    <n v="1116"/>
    <n v="107138"/>
    <x v="3"/>
    <n v="37028"/>
    <s v="DVR-M"/>
    <s v="Infiltração"/>
    <m/>
    <m/>
    <m/>
    <s v="Sucata"/>
    <n v="144166"/>
    <n v="1701"/>
  </r>
  <r>
    <n v="6931"/>
    <s v="Pirelli"/>
    <x v="1"/>
    <n v="1116"/>
    <n v="130214"/>
    <x v="0"/>
    <n v="95257"/>
    <s v="DVR-M"/>
    <s v="s/ dados"/>
    <m/>
    <m/>
    <m/>
    <m/>
    <n v="225471"/>
    <n v="1701"/>
  </r>
  <r>
    <n v="6954"/>
    <s v="Pirelli"/>
    <x v="1"/>
    <n v="716"/>
    <n v="92815"/>
    <x v="3"/>
    <n v="96419"/>
    <s v="DVR-M"/>
    <s v="Liso"/>
    <m/>
    <m/>
    <m/>
    <s v="Sucata"/>
    <n v="189234"/>
    <n v="1701"/>
  </r>
  <r>
    <n v="6955"/>
    <s v="Pirelli"/>
    <x v="1"/>
    <n v="1016"/>
    <n v="132199"/>
    <x v="0"/>
    <n v="67410"/>
    <s v="DVR-M"/>
    <s v="s/ dados"/>
    <m/>
    <m/>
    <m/>
    <m/>
    <n v="199609"/>
    <n v="1701"/>
  </r>
  <r>
    <n v="6956"/>
    <s v="Pirelli"/>
    <x v="1"/>
    <n v="1316"/>
    <n v="118512"/>
    <x v="0"/>
    <n v="95316"/>
    <s v="BusPlus"/>
    <s v="Liso"/>
    <n v="14956"/>
    <s v="VL-110L"/>
    <s v="s/ dados"/>
    <m/>
    <n v="228784"/>
    <n v="1701"/>
  </r>
  <r>
    <n v="6957"/>
    <s v="Pirelli"/>
    <x v="1"/>
    <n v="1316"/>
    <n v="110482"/>
    <x v="0"/>
    <n v="67410"/>
    <s v="DVR-M"/>
    <s v="s/ dados"/>
    <m/>
    <m/>
    <m/>
    <m/>
    <n v="177892"/>
    <n v="1701"/>
  </r>
  <r>
    <n v="6964"/>
    <s v="Pirelli"/>
    <x v="1"/>
    <n v="3116"/>
    <n v="127850"/>
    <x v="0"/>
    <n v="85885"/>
    <s v="DVR-M"/>
    <s v="s/ dados"/>
    <m/>
    <m/>
    <m/>
    <m/>
    <n v="213735"/>
    <n v="1701"/>
  </r>
  <r>
    <n v="6965"/>
    <s v="Pirelli"/>
    <x v="1"/>
    <n v="3016"/>
    <n v="98428"/>
    <x v="0"/>
    <n v="74367"/>
    <s v="BusPlus"/>
    <s v="Infiltração"/>
    <m/>
    <m/>
    <m/>
    <s v="Sucata"/>
    <n v="172795"/>
    <n v="1701"/>
  </r>
  <r>
    <n v="6966"/>
    <s v="Pirelli"/>
    <x v="1"/>
    <n v="3116"/>
    <n v="58877"/>
    <x v="4"/>
    <m/>
    <m/>
    <m/>
    <m/>
    <m/>
    <m/>
    <s v="Sucata"/>
    <n v="58877"/>
    <n v="1701"/>
  </r>
  <r>
    <n v="6967"/>
    <s v="Pirelli"/>
    <x v="1"/>
    <n v="3016"/>
    <n v="159165"/>
    <x v="0"/>
    <n v="124564"/>
    <s v="BusPlus"/>
    <s v="Liso"/>
    <m/>
    <m/>
    <m/>
    <s v="Sucata"/>
    <n v="283729"/>
    <n v="1701"/>
  </r>
  <r>
    <n v="6968"/>
    <s v="Pirelli"/>
    <x v="1"/>
    <n v="3116"/>
    <n v="87540"/>
    <x v="2"/>
    <n v="89100"/>
    <s v="DVR-M"/>
    <s v="Liso"/>
    <m/>
    <m/>
    <m/>
    <s v="Sucata"/>
    <n v="176640"/>
    <n v="1701"/>
  </r>
  <r>
    <n v="6969"/>
    <s v="Pirelli"/>
    <x v="1"/>
    <n v="3016"/>
    <n v="112367"/>
    <x v="0"/>
    <n v="83619"/>
    <s v="DVR-M"/>
    <s v="Liso"/>
    <m/>
    <m/>
    <m/>
    <s v="Sucata"/>
    <n v="195986"/>
    <n v="1701"/>
  </r>
  <r>
    <n v="6970"/>
    <s v="Pirelli"/>
    <x v="1"/>
    <n v="3016"/>
    <n v="70155"/>
    <x v="0"/>
    <n v="95643"/>
    <s v="DVR-M"/>
    <s v="Liso"/>
    <m/>
    <m/>
    <m/>
    <s v="Sucata"/>
    <n v="165798"/>
    <n v="1701"/>
  </r>
  <r>
    <n v="6971"/>
    <s v="Pirelli"/>
    <x v="1"/>
    <n v="3116"/>
    <n v="70155"/>
    <x v="0"/>
    <n v="95643"/>
    <s v="DVR-M"/>
    <s v="Liso"/>
    <m/>
    <m/>
    <m/>
    <s v="Sucata"/>
    <n v="165798"/>
    <n v="1701"/>
  </r>
  <r>
    <n v="6976"/>
    <s v="Pirelli"/>
    <x v="1"/>
    <n v="2916"/>
    <n v="140581"/>
    <x v="0"/>
    <n v="34918"/>
    <s v="BusPlus"/>
    <s v="Infiltração"/>
    <m/>
    <m/>
    <m/>
    <s v="Sucata"/>
    <n v="175499"/>
    <n v="1701"/>
  </r>
  <r>
    <n v="6977"/>
    <s v="Pirelli"/>
    <x v="1"/>
    <n v="2716"/>
    <n v="121446"/>
    <x v="0"/>
    <n v="39278"/>
    <s v="DVR-M"/>
    <s v="Infiltração"/>
    <m/>
    <m/>
    <m/>
    <s v="Sucata"/>
    <n v="160724"/>
    <n v="1701"/>
  </r>
  <r>
    <n v="6978"/>
    <s v="Pirelli"/>
    <x v="1"/>
    <n v="2916"/>
    <n v="111062"/>
    <x v="0"/>
    <n v="66140"/>
    <s v="BusPlus"/>
    <s v="Infiltração"/>
    <m/>
    <m/>
    <m/>
    <s v="Sucata"/>
    <n v="177202"/>
    <n v="1701"/>
  </r>
  <r>
    <n v="6979"/>
    <s v="Pirelli"/>
    <x v="1"/>
    <n v="2916"/>
    <n v="87515"/>
    <x v="0"/>
    <n v="52062"/>
    <s v="DVR-M"/>
    <s v="Infiltração"/>
    <m/>
    <m/>
    <m/>
    <s v="Sucata"/>
    <n v="139577"/>
    <n v="1701"/>
  </r>
  <r>
    <n v="6980"/>
    <s v="Pirelli"/>
    <x v="1"/>
    <n v="3116"/>
    <n v="115723"/>
    <x v="0"/>
    <n v="89967"/>
    <s v="BusPlus"/>
    <s v="Liso"/>
    <n v="16726"/>
    <s v="VL-110L"/>
    <s v="Infiltração"/>
    <s v="Sucata"/>
    <n v="222416"/>
    <n v="1701"/>
  </r>
  <r>
    <n v="6981"/>
    <s v="Pirelli"/>
    <x v="1"/>
    <n v="3116"/>
    <n v="130131"/>
    <x v="0"/>
    <n v="55699"/>
    <s v="DVR-M"/>
    <s v="Infiltração"/>
    <m/>
    <m/>
    <m/>
    <s v="Sucata"/>
    <n v="185830"/>
    <n v="1701"/>
  </r>
  <r>
    <n v="6982"/>
    <s v="Pirelli"/>
    <x v="1"/>
    <n v="3116"/>
    <n v="122553"/>
    <x v="0"/>
    <n v="93038"/>
    <s v="DVR-M"/>
    <s v="s/ dados"/>
    <m/>
    <m/>
    <m/>
    <m/>
    <n v="215591"/>
    <n v="1701"/>
  </r>
  <r>
    <n v="6983"/>
    <s v="Pirelli"/>
    <x v="1"/>
    <n v="3116"/>
    <n v="118259"/>
    <x v="0"/>
    <m/>
    <m/>
    <s v="Infiltração"/>
    <m/>
    <m/>
    <m/>
    <s v="Sucata"/>
    <n v="118259"/>
    <n v="1701"/>
  </r>
  <r>
    <n v="6984"/>
    <s v="Pirelli"/>
    <x v="1"/>
    <n v="2916"/>
    <n v="124113"/>
    <x v="0"/>
    <m/>
    <m/>
    <s v="Infiltração"/>
    <m/>
    <m/>
    <m/>
    <s v="Sucata"/>
    <n v="124113"/>
    <n v="1701"/>
  </r>
  <r>
    <n v="6985"/>
    <s v="Pirelli"/>
    <x v="1"/>
    <n v="2916"/>
    <n v="126296"/>
    <x v="0"/>
    <n v="27670"/>
    <s v="DVR-M"/>
    <s v="Infiltração"/>
    <m/>
    <m/>
    <m/>
    <s v="Sucata"/>
    <n v="153966"/>
    <n v="1701"/>
  </r>
  <r>
    <n v="6986"/>
    <s v="Pirelli"/>
    <x v="1"/>
    <n v="2916"/>
    <n v="140148"/>
    <x v="0"/>
    <n v="23700"/>
    <s v="DVR-M"/>
    <s v="s/ dados"/>
    <m/>
    <m/>
    <m/>
    <m/>
    <n v="163848"/>
    <n v="1701"/>
  </r>
  <r>
    <n v="6987"/>
    <s v="Pirelli"/>
    <x v="1"/>
    <n v="2916"/>
    <n v="105617"/>
    <x v="0"/>
    <n v="71643"/>
    <s v="DVR-M"/>
    <s v="Furado"/>
    <m/>
    <m/>
    <m/>
    <s v="Sucata"/>
    <n v="177260"/>
    <n v="1701"/>
  </r>
  <r>
    <n v="6988"/>
    <s v="Pirelli"/>
    <x v="1"/>
    <n v="3116"/>
    <n v="86503"/>
    <x v="4"/>
    <m/>
    <m/>
    <m/>
    <m/>
    <m/>
    <m/>
    <s v="Sucata"/>
    <n v="86503"/>
    <n v="1701"/>
  </r>
  <r>
    <n v="6989"/>
    <s v="Pirelli"/>
    <x v="1"/>
    <n v="2716"/>
    <n v="110121"/>
    <x v="0"/>
    <n v="54562"/>
    <s v="DVR-M"/>
    <s v="Infiltração"/>
    <m/>
    <m/>
    <m/>
    <s v="Sucata"/>
    <n v="164683"/>
    <n v="1701"/>
  </r>
  <r>
    <n v="7004"/>
    <s v="Pirelli"/>
    <x v="2"/>
    <n v="416"/>
    <n v="82182"/>
    <x v="0"/>
    <n v="95643"/>
    <s v="DVR-M"/>
    <s v="Liso"/>
    <m/>
    <m/>
    <m/>
    <s v="Sucata"/>
    <n v="177825"/>
    <n v="1603"/>
  </r>
  <r>
    <n v="7005"/>
    <s v="Pirelli"/>
    <x v="2"/>
    <n v="4516"/>
    <n v="64731"/>
    <x v="0"/>
    <n v="61940"/>
    <s v="DVR-M"/>
    <s v="Furado"/>
    <n v="48845"/>
    <s v="DVR-M"/>
    <s v="Infiltração"/>
    <s v="Sucata"/>
    <n v="175516"/>
    <n v="1603"/>
  </r>
  <r>
    <n v="7006"/>
    <s v="Pirelli"/>
    <x v="2"/>
    <n v="4516"/>
    <n v="50050"/>
    <x v="3"/>
    <n v="105910"/>
    <s v="DVR-M"/>
    <s v="Liso"/>
    <n v="14098"/>
    <s v="VL-110L"/>
    <s v="s/ dados"/>
    <m/>
    <n v="170058"/>
    <n v="1603"/>
  </r>
  <r>
    <n v="7007"/>
    <s v="Pirelli"/>
    <x v="2"/>
    <n v="4516"/>
    <n v="56569"/>
    <x v="0"/>
    <n v="79330"/>
    <s v="DVR-M"/>
    <s v="Infiltração"/>
    <m/>
    <m/>
    <m/>
    <s v="Sucata"/>
    <n v="135899"/>
    <n v="1603"/>
  </r>
  <r>
    <n v="7018"/>
    <s v="Pirelli"/>
    <x v="2"/>
    <n v="4616"/>
    <n v="72081"/>
    <x v="0"/>
    <n v="121556"/>
    <s v="DVR-M"/>
    <s v="Liso"/>
    <n v="32467"/>
    <s v="VL-110L"/>
    <s v="s/ dados"/>
    <m/>
    <n v="226104"/>
    <n v="1603"/>
  </r>
  <r>
    <n v="7019"/>
    <s v="Pirelli"/>
    <x v="2"/>
    <n v="4616"/>
    <n v="53342"/>
    <x v="2"/>
    <n v="95257"/>
    <s v="DVR-M"/>
    <s v="s/ dados"/>
    <m/>
    <m/>
    <m/>
    <m/>
    <n v="148599"/>
    <n v="1603"/>
  </r>
  <r>
    <n v="7020"/>
    <s v="Pirelli"/>
    <x v="2"/>
    <n v="4616"/>
    <n v="79152"/>
    <x v="0"/>
    <n v="93680"/>
    <s v="BusPlus"/>
    <s v="Liso"/>
    <m/>
    <m/>
    <m/>
    <s v="Sucata"/>
    <n v="172832"/>
    <n v="1603"/>
  </r>
  <r>
    <n v="7021"/>
    <s v="Pirelli"/>
    <x v="2"/>
    <n v="4616"/>
    <n v="93560"/>
    <x v="0"/>
    <n v="74029"/>
    <s v="DVR-M"/>
    <s v="Infiltração"/>
    <m/>
    <m/>
    <m/>
    <s v="Sucata"/>
    <n v="167589"/>
    <n v="1603"/>
  </r>
  <r>
    <n v="7044"/>
    <s v="Michelin"/>
    <x v="3"/>
    <n v="3115"/>
    <n v="104174"/>
    <x v="0"/>
    <n v="44544"/>
    <s v="BusPlus"/>
    <s v="Furado"/>
    <m/>
    <m/>
    <m/>
    <s v="Sucata"/>
    <n v="148718"/>
    <n v="1586"/>
  </r>
  <r>
    <n v="7045"/>
    <s v="Michelin"/>
    <x v="3"/>
    <n v="3316"/>
    <n v="104174"/>
    <x v="0"/>
    <n v="124466"/>
    <s v="BusPlus"/>
    <s v="Liso"/>
    <n v="32467"/>
    <s v="X-Incity"/>
    <s v="s/ dados"/>
    <m/>
    <n v="261107"/>
    <n v="1586"/>
  </r>
  <r>
    <n v="7046"/>
    <s v="Michelin"/>
    <x v="3"/>
    <n v="2115"/>
    <n v="117604"/>
    <x v="0"/>
    <n v="63404"/>
    <s v="X-Incity"/>
    <s v="s/ dados"/>
    <m/>
    <m/>
    <m/>
    <m/>
    <n v="181008"/>
    <n v="1586"/>
  </r>
  <r>
    <n v="7047"/>
    <s v="Michelin"/>
    <x v="3"/>
    <n v="2115"/>
    <n v="117604"/>
    <x v="0"/>
    <n v="110041"/>
    <s v="X-Incity"/>
    <s v="Liso"/>
    <m/>
    <m/>
    <m/>
    <s v="Sucata"/>
    <n v="227645"/>
    <n v="1586"/>
  </r>
  <r>
    <n v="7048"/>
    <s v="Michelin"/>
    <x v="3"/>
    <n v="3316"/>
    <n v="87550"/>
    <x v="0"/>
    <n v="120618"/>
    <s v="X-Incity"/>
    <s v="Liso"/>
    <n v="91113"/>
    <s v="X-Incity"/>
    <s v="Infiltração"/>
    <s v="Sucata"/>
    <n v="299281"/>
    <n v="1586"/>
  </r>
  <r>
    <n v="7049"/>
    <s v="Michelin"/>
    <x v="3"/>
    <n v="3316"/>
    <n v="87550"/>
    <x v="0"/>
    <n v="111782"/>
    <s v="X-Incity"/>
    <s v="Furado"/>
    <m/>
    <m/>
    <m/>
    <s v="Sucata"/>
    <n v="199332"/>
    <n v="1586"/>
  </r>
  <r>
    <n v="7050"/>
    <s v="Michelin"/>
    <x v="3"/>
    <n v="3316"/>
    <n v="114425"/>
    <x v="0"/>
    <n v="63404"/>
    <s v="BusPlus"/>
    <s v="s/ dados"/>
    <m/>
    <m/>
    <m/>
    <m/>
    <n v="177829"/>
    <n v="1586"/>
  </r>
  <r>
    <n v="7051"/>
    <s v="Michelin"/>
    <x v="3"/>
    <n v="3316"/>
    <n v="114425"/>
    <x v="0"/>
    <n v="63404"/>
    <s v="BusPlus"/>
    <s v="s/ dados"/>
    <m/>
    <m/>
    <m/>
    <m/>
    <n v="177829"/>
    <n v="1586"/>
  </r>
  <r>
    <n v="7052"/>
    <s v="Michelin"/>
    <x v="3"/>
    <n v="3316"/>
    <n v="96258"/>
    <x v="0"/>
    <n v="134863"/>
    <s v="X-Incity"/>
    <s v="Liso"/>
    <m/>
    <m/>
    <m/>
    <s v="Sucata"/>
    <n v="231121"/>
    <n v="1586"/>
  </r>
  <r>
    <n v="7053"/>
    <s v="Michelin"/>
    <x v="3"/>
    <n v="3316"/>
    <n v="110166"/>
    <x v="0"/>
    <n v="19818"/>
    <s v="DVR-M"/>
    <s v="s/ dados"/>
    <m/>
    <m/>
    <m/>
    <m/>
    <n v="129984"/>
    <n v="1586"/>
  </r>
  <r>
    <n v="7074"/>
    <s v="Michelin"/>
    <x v="3"/>
    <n v="3316"/>
    <n v="113217"/>
    <x v="0"/>
    <n v="113972"/>
    <s v="X-Incity"/>
    <s v="Liso"/>
    <n v="54843"/>
    <s v="X-Incity"/>
    <s v="Furado"/>
    <s v="Sucata"/>
    <n v="282032"/>
    <n v="1586"/>
  </r>
  <r>
    <n v="7075"/>
    <s v="Michelin"/>
    <x v="3"/>
    <n v="3316"/>
    <n v="113217"/>
    <x v="0"/>
    <n v="131859"/>
    <s v="X-Incity"/>
    <s v="Liso"/>
    <n v="14524"/>
    <s v="X-Incity"/>
    <s v="Infiltração"/>
    <s v="Sucata"/>
    <n v="259600"/>
    <n v="1586"/>
  </r>
  <r>
    <n v="7076"/>
    <s v="Michelin"/>
    <x v="3"/>
    <n v="3316"/>
    <n v="95954"/>
    <x v="0"/>
    <m/>
    <s v="X-Incity"/>
    <s v="s/ dados"/>
    <m/>
    <m/>
    <m/>
    <m/>
    <n v="95954"/>
    <n v="1586"/>
  </r>
  <r>
    <n v="7077"/>
    <s v="Michelin"/>
    <x v="3"/>
    <n v="3316"/>
    <n v="95954"/>
    <x v="0"/>
    <m/>
    <s v="X-Incity"/>
    <s v="s/ dados"/>
    <m/>
    <m/>
    <m/>
    <m/>
    <n v="95954"/>
    <n v="1586"/>
  </r>
  <r>
    <n v="7086"/>
    <s v="Michelin"/>
    <x v="3"/>
    <n v="2017"/>
    <n v="94012"/>
    <x v="0"/>
    <n v="101439"/>
    <s v="X-Incity"/>
    <s v="s/ dados"/>
    <m/>
    <m/>
    <m/>
    <m/>
    <n v="195451"/>
    <n v="1586"/>
  </r>
  <r>
    <n v="7087"/>
    <s v="Michelin"/>
    <x v="3"/>
    <n v="2017"/>
    <n v="94012"/>
    <x v="0"/>
    <n v="101439"/>
    <s v="X-Incity"/>
    <s v="s/ dados"/>
    <m/>
    <m/>
    <m/>
    <m/>
    <n v="195451"/>
    <n v="1586"/>
  </r>
  <r>
    <n v="7088"/>
    <s v="Michelin"/>
    <x v="3"/>
    <n v="2017"/>
    <n v="93201"/>
    <x v="0"/>
    <m/>
    <s v="DVR-M"/>
    <m/>
    <m/>
    <m/>
    <m/>
    <n v="19052"/>
    <n v="93201"/>
    <n v="1586"/>
  </r>
  <r>
    <n v="7089"/>
    <s v="Michelin"/>
    <x v="3"/>
    <n v="2017"/>
    <n v="119531"/>
    <x v="0"/>
    <n v="115456"/>
    <s v="X-Incity"/>
    <s v="Liso"/>
    <m/>
    <m/>
    <m/>
    <s v="Estoque"/>
    <n v="234987"/>
    <n v="1586"/>
  </r>
  <r>
    <n v="7090"/>
    <s v="Michelin"/>
    <x v="3"/>
    <n v="2017"/>
    <n v="97650"/>
    <x v="0"/>
    <n v="108327"/>
    <s v="X-Incity"/>
    <s v="s/ dados"/>
    <n v="19275"/>
    <s v="X-Incity"/>
    <m/>
    <m/>
    <n v="225252"/>
    <n v="1586"/>
  </r>
  <r>
    <n v="7091"/>
    <s v="Michelin"/>
    <x v="3"/>
    <n v="1917"/>
    <n v="86449"/>
    <x v="5"/>
    <n v="63404"/>
    <s v="X-Incity"/>
    <s v="s/ dados"/>
    <m/>
    <m/>
    <m/>
    <m/>
    <n v="149853"/>
    <n v="1586"/>
  </r>
  <r>
    <n v="7092"/>
    <s v="Michelin"/>
    <x v="3"/>
    <n v="1917"/>
    <n v="93902"/>
    <x v="0"/>
    <n v="101439"/>
    <s v="X-Incity"/>
    <s v="s/ dados"/>
    <m/>
    <m/>
    <m/>
    <m/>
    <n v="195341"/>
    <n v="1586"/>
  </r>
  <r>
    <n v="7093"/>
    <s v="Michelin"/>
    <x v="3"/>
    <n v="1917"/>
    <n v="93902"/>
    <x v="0"/>
    <n v="80569"/>
    <s v="X-Incity"/>
    <s v="s/ dados"/>
    <m/>
    <m/>
    <m/>
    <m/>
    <n v="174471"/>
    <n v="1586"/>
  </r>
  <r>
    <n v="7094"/>
    <s v="Michelin"/>
    <x v="3"/>
    <n v="1917"/>
    <n v="116909"/>
    <x v="0"/>
    <n v="80869"/>
    <s v="X-Incity"/>
    <s v="s/ dados"/>
    <m/>
    <m/>
    <m/>
    <m/>
    <n v="197778"/>
    <n v="1586"/>
  </r>
  <r>
    <n v="7095"/>
    <s v="Michelin"/>
    <x v="3"/>
    <n v="1917"/>
    <n v="117369"/>
    <x v="0"/>
    <n v="101439"/>
    <s v="X-Incity"/>
    <s v="s/ dados"/>
    <m/>
    <m/>
    <m/>
    <m/>
    <n v="218808"/>
    <n v="1586"/>
  </r>
  <r>
    <n v="7100"/>
    <s v="Michelin"/>
    <x v="3"/>
    <n v="2717"/>
    <n v="121031"/>
    <x v="0"/>
    <m/>
    <s v="X-Incity"/>
    <s v="s/ dados"/>
    <m/>
    <m/>
    <m/>
    <m/>
    <n v="121031"/>
    <n v="1586"/>
  </r>
  <r>
    <n v="7101"/>
    <s v="Michelin"/>
    <x v="3"/>
    <n v="2717"/>
    <n v="121031"/>
    <x v="0"/>
    <m/>
    <s v="X-Incity"/>
    <s v="s/ dados"/>
    <m/>
    <m/>
    <m/>
    <m/>
    <n v="121031"/>
    <n v="1586"/>
  </r>
  <r>
    <n v="7102"/>
    <s v="Michelin"/>
    <x v="3"/>
    <n v="2717"/>
    <n v="73572"/>
    <x v="3"/>
    <m/>
    <m/>
    <m/>
    <m/>
    <m/>
    <m/>
    <s v="Sucata"/>
    <n v="73572"/>
    <n v="1586"/>
  </r>
  <r>
    <n v="7103"/>
    <s v="Michelin"/>
    <x v="3"/>
    <n v="2717"/>
    <n v="101192"/>
    <x v="0"/>
    <n v="80197"/>
    <s v="X-Incity"/>
    <s v="Furado"/>
    <m/>
    <m/>
    <m/>
    <s v="Sucata"/>
    <n v="181389"/>
    <n v="1586"/>
  </r>
  <r>
    <n v="7104"/>
    <s v="Michelin"/>
    <x v="3"/>
    <n v="2717"/>
    <n v="99591"/>
    <x v="0"/>
    <n v="134189"/>
    <s v="X-Incity"/>
    <s v="Liso"/>
    <n v="20020"/>
    <s v="X-Incity"/>
    <s v="Corte lateral"/>
    <s v="Sucata"/>
    <n v="253800"/>
    <n v="1586"/>
  </r>
  <r>
    <n v="7105"/>
    <s v="Michelin"/>
    <x v="3"/>
    <n v="2717"/>
    <n v="79549"/>
    <x v="3"/>
    <n v="123815"/>
    <s v="X-Incity"/>
    <s v="Liso"/>
    <m/>
    <m/>
    <m/>
    <s v="Sucata"/>
    <n v="203364"/>
    <n v="1586"/>
  </r>
  <r>
    <n v="7114"/>
    <s v="Michelin"/>
    <x v="3"/>
    <n v="1917"/>
    <n v="105688"/>
    <x v="0"/>
    <n v="84774"/>
    <s v="X-Incity"/>
    <s v="Liso"/>
    <n v="30276"/>
    <s v="X-Incity"/>
    <s v="Infiltração"/>
    <s v="Sucata"/>
    <n v="220738"/>
    <n v="1586"/>
  </r>
  <r>
    <n v="7115"/>
    <s v="Michelin"/>
    <x v="3"/>
    <n v="2017"/>
    <n v="105688"/>
    <x v="0"/>
    <m/>
    <s v="X-Incity"/>
    <s v="s/ dados"/>
    <m/>
    <m/>
    <m/>
    <m/>
    <n v="105688"/>
    <n v="1586"/>
  </r>
  <r>
    <n v="7134"/>
    <s v="Michelin"/>
    <x v="3"/>
    <n v="2717"/>
    <n v="94274"/>
    <x v="0"/>
    <n v="101439"/>
    <s v="X-Incity"/>
    <s v="Liso"/>
    <n v="66830"/>
    <s v="X-Incity"/>
    <s v="Furado"/>
    <s v="Conserto"/>
    <n v="262543"/>
    <n v="1586"/>
  </r>
  <r>
    <n v="7135"/>
    <s v="Michelin"/>
    <x v="3"/>
    <n v="2717"/>
    <n v="94274"/>
    <x v="0"/>
    <n v="75577"/>
    <s v="X-Incity"/>
    <s v="Infiltração"/>
    <m/>
    <m/>
    <m/>
    <s v="Sucata"/>
    <n v="169851"/>
    <n v="1586"/>
  </r>
  <r>
    <n v="7136"/>
    <s v="Michelin"/>
    <x v="3"/>
    <n v="2717"/>
    <n v="109731"/>
    <x v="0"/>
    <n v="62977"/>
    <s v="X-Incity"/>
    <s v="Infiltração"/>
    <m/>
    <m/>
    <m/>
    <s v="Sucata"/>
    <n v="172708"/>
    <n v="1586"/>
  </r>
  <r>
    <n v="7137"/>
    <s v="Michelin"/>
    <x v="3"/>
    <n v="2717"/>
    <n v="97650"/>
    <x v="0"/>
    <n v="142305"/>
    <s v="X-Incity"/>
    <s v="Liso"/>
    <n v="47000"/>
    <s v="X-Incity"/>
    <m/>
    <n v="19053"/>
    <n v="286955"/>
    <n v="1586"/>
  </r>
  <r>
    <n v="7138"/>
    <s v="Michelin"/>
    <x v="3"/>
    <n v="3717"/>
    <n v="103332"/>
    <x v="0"/>
    <n v="115598"/>
    <s v="X-Incity"/>
    <s v="Liso"/>
    <m/>
    <s v="DVR-M"/>
    <m/>
    <n v="19056"/>
    <n v="218930"/>
    <n v="1586"/>
  </r>
  <r>
    <n v="7139"/>
    <s v="Michelin"/>
    <x v="3"/>
    <n v="3717"/>
    <n v="54199"/>
    <x v="3"/>
    <m/>
    <m/>
    <m/>
    <m/>
    <m/>
    <m/>
    <s v="Sucata"/>
    <n v="54199"/>
    <n v="1586"/>
  </r>
  <r>
    <n v="7140"/>
    <s v="Michelin"/>
    <x v="3"/>
    <n v="3717"/>
    <n v="110340"/>
    <x v="0"/>
    <n v="58912"/>
    <s v="X-Incity"/>
    <s v="Furado"/>
    <m/>
    <m/>
    <m/>
    <s v="Sucata"/>
    <n v="169252"/>
    <n v="1586"/>
  </r>
  <r>
    <n v="7141"/>
    <s v="Michelin"/>
    <x v="3"/>
    <n v="3717"/>
    <n v="113775"/>
    <x v="0"/>
    <n v="75063"/>
    <s v="X-Incity"/>
    <s v="Infiltração"/>
    <m/>
    <m/>
    <m/>
    <s v="Sucata"/>
    <n v="188838"/>
    <n v="1586"/>
  </r>
  <r>
    <n v="7142"/>
    <s v="Michelin"/>
    <x v="3"/>
    <n v="3717"/>
    <n v="85490"/>
    <x v="0"/>
    <n v="115902"/>
    <s v="X-Incity"/>
    <s v="Liso"/>
    <m/>
    <s v="X-Incity"/>
    <m/>
    <n v="8002"/>
    <n v="201392"/>
    <n v="1586"/>
  </r>
  <r>
    <n v="7143"/>
    <s v="Michelin"/>
    <x v="3"/>
    <n v="3717"/>
    <n v="99298"/>
    <x v="0"/>
    <n v="84774"/>
    <s v="X-Incity"/>
    <s v="Liso"/>
    <n v="38567"/>
    <s v="X-Incity"/>
    <s v="Infiltração"/>
    <s v="Sucata"/>
    <n v="222639"/>
    <n v="1586"/>
  </r>
  <r>
    <n v="7144"/>
    <s v="Michelin"/>
    <x v="3"/>
    <n v="3717"/>
    <n v="109731"/>
    <x v="0"/>
    <n v="80569"/>
    <s v="X-Incity"/>
    <s v="s/ dados"/>
    <m/>
    <m/>
    <m/>
    <m/>
    <n v="190300"/>
    <n v="1617"/>
  </r>
  <r>
    <n v="7187"/>
    <s v="Pirelli"/>
    <x v="1"/>
    <n v="318"/>
    <n v="56328"/>
    <x v="1"/>
    <m/>
    <m/>
    <m/>
    <m/>
    <m/>
    <m/>
    <m/>
    <n v="56328"/>
    <n v="1617"/>
  </r>
  <r>
    <n v="7188"/>
    <s v="Pirelli"/>
    <x v="1"/>
    <n v="318"/>
    <n v="56328"/>
    <x v="1"/>
    <m/>
    <m/>
    <m/>
    <m/>
    <m/>
    <m/>
    <m/>
    <n v="56328"/>
    <n v="1617"/>
  </r>
  <r>
    <n v="7189"/>
    <s v="Pirelli"/>
    <x v="1"/>
    <n v="318"/>
    <n v="38110"/>
    <x v="1"/>
    <m/>
    <m/>
    <m/>
    <m/>
    <m/>
    <m/>
    <m/>
    <n v="38110"/>
    <n v="1617"/>
  </r>
  <r>
    <n v="7190"/>
    <s v="Pirelli"/>
    <x v="1"/>
    <n v="318"/>
    <n v="70135"/>
    <x v="0"/>
    <n v="32467"/>
    <s v="DVR-M"/>
    <s v="s/ dados"/>
    <m/>
    <m/>
    <m/>
    <m/>
    <n v="102602"/>
    <n v="1617"/>
  </r>
  <r>
    <n v="7191"/>
    <s v="Pirelli"/>
    <x v="1"/>
    <n v="818"/>
    <n v="83962"/>
    <x v="0"/>
    <n v="19818"/>
    <s v="DVR-M"/>
    <s v="s/ dados"/>
    <m/>
    <m/>
    <m/>
    <m/>
    <n v="103780"/>
    <n v="1617"/>
  </r>
  <r>
    <n v="7192"/>
    <s v="Pirelli"/>
    <x v="1"/>
    <n v="818"/>
    <n v="83962"/>
    <x v="0"/>
    <n v="19818"/>
    <s v="DVR-M"/>
    <s v="s/ dados"/>
    <m/>
    <m/>
    <m/>
    <m/>
    <n v="103780"/>
    <n v="1617"/>
  </r>
  <r>
    <n v="7193"/>
    <s v="Pirelli"/>
    <x v="1"/>
    <n v="818"/>
    <n v="70439"/>
    <x v="0"/>
    <n v="83619"/>
    <s v="DVR-M"/>
    <s v="Liso"/>
    <n v="28182"/>
    <s v="VL-110L"/>
    <s v="Infiltração"/>
    <s v="Sucata"/>
    <n v="182240"/>
    <n v="1617"/>
  </r>
  <r>
    <n v="7194"/>
    <s v="Pirelli"/>
    <x v="2"/>
    <n v="3217"/>
    <n v="56631"/>
    <x v="3"/>
    <m/>
    <m/>
    <m/>
    <m/>
    <m/>
    <m/>
    <s v="Sucata"/>
    <n v="56631"/>
    <n v="1706"/>
  </r>
  <r>
    <n v="7195"/>
    <s v="Pirelli"/>
    <x v="2"/>
    <n v="3217"/>
    <n v="71065"/>
    <x v="0"/>
    <n v="14346"/>
    <s v="DVR-M"/>
    <s v="s/ dados"/>
    <m/>
    <m/>
    <m/>
    <m/>
    <n v="85411"/>
    <n v="1706"/>
  </r>
  <r>
    <n v="7196"/>
    <s v="Pirelli"/>
    <x v="2"/>
    <n v="3217"/>
    <n v="71603"/>
    <x v="0"/>
    <n v="68311"/>
    <s v="DVR-M"/>
    <s v="Liso"/>
    <n v="36583"/>
    <s v="VL-110L"/>
    <m/>
    <s v="Sucata"/>
    <n v="176497"/>
    <n v="1706"/>
  </r>
  <r>
    <n v="7197"/>
    <s v="Pirelli"/>
    <x v="2"/>
    <n v="3217"/>
    <n v="23700"/>
    <x v="0"/>
    <m/>
    <s v="DVR-M"/>
    <s v="s/ dados"/>
    <m/>
    <m/>
    <m/>
    <m/>
    <n v="23700"/>
    <n v="1706"/>
  </r>
  <r>
    <n v="7198"/>
    <s v="Pirelli"/>
    <x v="2"/>
    <n v="3217"/>
    <n v="78985"/>
    <x v="0"/>
    <n v="14346"/>
    <s v="DVR-M"/>
    <s v="s/ dados"/>
    <m/>
    <m/>
    <m/>
    <m/>
    <n v="93331"/>
    <n v="1706"/>
  </r>
  <r>
    <n v="7215"/>
    <s v="Pirelli"/>
    <x v="2"/>
    <n v="818"/>
    <n v="84679"/>
    <x v="0"/>
    <n v="67610"/>
    <s v="DVR-M"/>
    <s v="Liso"/>
    <n v="31219"/>
    <s v="VL-110L"/>
    <s v="Corte lateral"/>
    <s v="Sucata"/>
    <n v="183508"/>
    <n v="1706"/>
  </r>
  <r>
    <n v="7216"/>
    <s v="Pirelli"/>
    <x v="2"/>
    <n v="218"/>
    <n v="97931"/>
    <x v="0"/>
    <n v="76719"/>
    <s v="DVR-M"/>
    <s v="Liso"/>
    <m/>
    <m/>
    <m/>
    <s v="Sucata"/>
    <n v="174650"/>
    <n v="1706"/>
  </r>
  <r>
    <n v="7217"/>
    <s v="Pirelli"/>
    <x v="2"/>
    <n v="218"/>
    <n v="120736"/>
    <x v="0"/>
    <n v="52062"/>
    <s v="DVR-M"/>
    <s v="Liso"/>
    <n v="28182"/>
    <s v="VL-110L"/>
    <s v="Infiltração"/>
    <s v="Sucata"/>
    <n v="200980"/>
    <n v="1706"/>
  </r>
  <r>
    <n v="7218"/>
    <s v="Pirelli"/>
    <x v="2"/>
    <n v="218"/>
    <n v="120736"/>
    <x v="0"/>
    <n v="26254"/>
    <s v="DVR-M"/>
    <s v="Infiltração"/>
    <m/>
    <m/>
    <m/>
    <s v="Sucata"/>
    <n v="146990"/>
    <n v="1706"/>
  </r>
  <r>
    <n v="7219"/>
    <s v="Pirelli"/>
    <x v="2"/>
    <n v="218"/>
    <n v="61303"/>
    <x v="3"/>
    <m/>
    <m/>
    <m/>
    <m/>
    <m/>
    <m/>
    <s v="Sucata"/>
    <n v="61303"/>
    <n v="1706"/>
  </r>
  <r>
    <n v="7220"/>
    <s v="Pirelli"/>
    <x v="2"/>
    <n v="218"/>
    <n v="119620"/>
    <x v="0"/>
    <n v="2620"/>
    <s v="DVR-M"/>
    <m/>
    <m/>
    <m/>
    <m/>
    <m/>
    <n v="122240"/>
    <n v="1706"/>
  </r>
  <r>
    <n v="7221"/>
    <s v="Pirelli"/>
    <x v="2"/>
    <n v="1018"/>
    <n v="122504"/>
    <x v="0"/>
    <n v="57536"/>
    <s v="DVR-M"/>
    <s v="Liso"/>
    <n v="34940"/>
    <s v="VL-110L"/>
    <s v="Liso"/>
    <s v="Estoque"/>
    <n v="214980"/>
    <n v="1706"/>
  </r>
  <r>
    <n v="7222"/>
    <s v="Pirelli"/>
    <x v="2"/>
    <n v="1018"/>
    <n v="72730"/>
    <x v="3"/>
    <m/>
    <m/>
    <m/>
    <m/>
    <m/>
    <m/>
    <m/>
    <n v="72730"/>
    <n v="1706"/>
  </r>
  <r>
    <n v="7223"/>
    <s v="Pirelli"/>
    <x v="2"/>
    <n v="1018"/>
    <n v="109572"/>
    <x v="0"/>
    <n v="77313"/>
    <s v="DVR-M"/>
    <s v="Liso"/>
    <n v="22093"/>
    <s v="VL-110L"/>
    <s v="Infiltração"/>
    <s v="Sucata"/>
    <n v="208978"/>
    <n v="1706"/>
  </r>
  <r>
    <n v="7224"/>
    <s v="Pirelli"/>
    <x v="2"/>
    <n v="1318"/>
    <n v="109572"/>
    <x v="0"/>
    <n v="72852"/>
    <s v="DVR-M"/>
    <s v="Liso"/>
    <m/>
    <s v="VL-110L"/>
    <m/>
    <n v="19053"/>
    <n v="182424"/>
    <n v="1706"/>
  </r>
  <r>
    <n v="7225"/>
    <s v="Pirelli"/>
    <x v="2"/>
    <n v="1318"/>
    <n v="69976"/>
    <x v="1"/>
    <m/>
    <m/>
    <m/>
    <m/>
    <m/>
    <m/>
    <m/>
    <n v="69976"/>
    <n v="1706"/>
  </r>
  <r>
    <n v="7226"/>
    <s v="Pirelli"/>
    <x v="2"/>
    <n v="1318"/>
    <n v="69976"/>
    <x v="1"/>
    <m/>
    <m/>
    <m/>
    <m/>
    <m/>
    <m/>
    <m/>
    <n v="69976"/>
    <n v="1706"/>
  </r>
  <r>
    <n v="7227"/>
    <s v="Pirelli"/>
    <x v="2"/>
    <n v="1118"/>
    <n v="81818"/>
    <x v="2"/>
    <n v="44877"/>
    <s v="DVR-M"/>
    <s v="Garantia"/>
    <m/>
    <m/>
    <m/>
    <s v="Sucata"/>
    <n v="126695"/>
    <n v="1706"/>
  </r>
  <r>
    <n v="7228"/>
    <s v="Pirelli"/>
    <x v="2"/>
    <n v="1418"/>
    <n v="86077"/>
    <x v="0"/>
    <n v="2914"/>
    <s v="DVR-M"/>
    <s v="s/ dados"/>
    <m/>
    <m/>
    <m/>
    <m/>
    <n v="88991"/>
    <n v="1706"/>
  </r>
  <r>
    <n v="7245"/>
    <s v="Pirelli"/>
    <x v="1"/>
    <n v="1918"/>
    <n v="121944"/>
    <x v="0"/>
    <n v="56305"/>
    <s v="DVR-M"/>
    <s v="Infiltração"/>
    <m/>
    <m/>
    <m/>
    <s v="Sucata"/>
    <n v="178249"/>
    <n v="1706"/>
  </r>
  <r>
    <n v="7246"/>
    <s v="Pirelli"/>
    <x v="1"/>
    <n v="1918"/>
    <n v="121944"/>
    <x v="0"/>
    <n v="59181"/>
    <s v="DVR-M"/>
    <s v="Furado"/>
    <m/>
    <m/>
    <m/>
    <s v="Sucata"/>
    <n v="181125"/>
    <n v="1706"/>
  </r>
  <r>
    <n v="7247"/>
    <s v="Pirelli"/>
    <x v="1"/>
    <n v="1918"/>
    <n v="30940"/>
    <x v="1"/>
    <m/>
    <m/>
    <m/>
    <m/>
    <m/>
    <m/>
    <m/>
    <n v="30940"/>
    <n v="1706"/>
  </r>
  <r>
    <n v="7248"/>
    <s v="Pirelli"/>
    <x v="1"/>
    <n v="1918"/>
    <n v="30940"/>
    <x v="1"/>
    <m/>
    <m/>
    <m/>
    <m/>
    <m/>
    <m/>
    <m/>
    <n v="30940"/>
    <n v="1706"/>
  </r>
  <r>
    <n v="7255"/>
    <s v="Pirelli"/>
    <x v="1"/>
    <n v="2718"/>
    <n v="112115"/>
    <x v="0"/>
    <n v="2914"/>
    <s v="DVR-M"/>
    <s v="s/ dados"/>
    <m/>
    <m/>
    <m/>
    <m/>
    <n v="115029"/>
    <n v="1454"/>
  </r>
  <r>
    <n v="7256"/>
    <s v="Pirelli"/>
    <x v="1"/>
    <n v="2718"/>
    <n v="112115"/>
    <x v="0"/>
    <n v="2620"/>
    <s v="DVR-M"/>
    <s v="s/ dados"/>
    <m/>
    <m/>
    <m/>
    <m/>
    <n v="114735"/>
    <n v="1454"/>
  </r>
  <r>
    <n v="7257"/>
    <s v="Pirelli"/>
    <x v="1"/>
    <n v="3318"/>
    <n v="31742"/>
    <x v="1"/>
    <m/>
    <m/>
    <m/>
    <m/>
    <m/>
    <m/>
    <m/>
    <n v="31742"/>
    <n v="1454"/>
  </r>
  <r>
    <n v="7258"/>
    <s v="Pirelli"/>
    <x v="1"/>
    <n v="2718"/>
    <n v="31742"/>
    <x v="1"/>
    <m/>
    <m/>
    <m/>
    <m/>
    <m/>
    <m/>
    <m/>
    <n v="31742"/>
    <n v="1454"/>
  </r>
  <r>
    <n v="7259"/>
    <s v="Pirelli"/>
    <x v="1"/>
    <n v="2718"/>
    <n v="100234"/>
    <x v="3"/>
    <n v="70037"/>
    <s v="DVR-M"/>
    <s v="Liso"/>
    <n v="44979"/>
    <s v="VL-110L"/>
    <s v="Liso"/>
    <s v="Sucata"/>
    <n v="215250"/>
    <n v="1454"/>
  </r>
  <r>
    <n v="7260"/>
    <s v="Pirelli"/>
    <x v="1"/>
    <n v="2718"/>
    <n v="14035"/>
    <x v="1"/>
    <m/>
    <m/>
    <m/>
    <m/>
    <m/>
    <m/>
    <m/>
    <n v="14035"/>
    <n v="1454"/>
  </r>
  <r>
    <n v="7261"/>
    <s v="Pirelli"/>
    <x v="1"/>
    <n v="3118"/>
    <n v="40446"/>
    <x v="1"/>
    <m/>
    <m/>
    <m/>
    <m/>
    <m/>
    <m/>
    <m/>
    <n v="40446"/>
    <n v="1454"/>
  </r>
  <r>
    <n v="7262"/>
    <s v="Pirelli"/>
    <x v="1"/>
    <n v="2718"/>
    <n v="40446"/>
    <x v="1"/>
    <m/>
    <m/>
    <m/>
    <m/>
    <m/>
    <m/>
    <m/>
    <n v="40446"/>
    <n v="1454"/>
  </r>
  <r>
    <n v="7275"/>
    <s v="Pirelli"/>
    <x v="1"/>
    <n v="3918"/>
    <n v="35687"/>
    <x v="1"/>
    <m/>
    <m/>
    <m/>
    <m/>
    <m/>
    <m/>
    <m/>
    <n v="35687"/>
    <n v="1454"/>
  </r>
  <r>
    <n v="7276"/>
    <s v="Pirelli"/>
    <x v="1"/>
    <n v="3918"/>
    <n v="35687"/>
    <x v="1"/>
    <m/>
    <m/>
    <m/>
    <m/>
    <m/>
    <m/>
    <m/>
    <n v="35687"/>
    <n v="1454"/>
  </r>
  <r>
    <n v="7277"/>
    <s v="Pirelli"/>
    <x v="1"/>
    <n v="3918"/>
    <n v="34038"/>
    <x v="1"/>
    <m/>
    <m/>
    <m/>
    <m/>
    <m/>
    <m/>
    <m/>
    <n v="34038"/>
    <n v="1454"/>
  </r>
  <r>
    <n v="7278"/>
    <s v="Pirelli"/>
    <x v="1"/>
    <n v="3918"/>
    <n v="34038"/>
    <x v="1"/>
    <m/>
    <m/>
    <m/>
    <m/>
    <m/>
    <m/>
    <m/>
    <n v="34038"/>
    <n v="1454"/>
  </r>
  <r>
    <n v="7279"/>
    <s v="Pirelli"/>
    <x v="1"/>
    <n v="3918"/>
    <n v="106649"/>
    <x v="0"/>
    <m/>
    <m/>
    <s v="Infiltração"/>
    <m/>
    <m/>
    <m/>
    <s v="Sucata"/>
    <n v="106649"/>
    <n v="1454"/>
  </r>
  <r>
    <n v="7280"/>
    <s v="Pirelli"/>
    <x v="1"/>
    <n v="3918"/>
    <n v="23978"/>
    <x v="1"/>
    <m/>
    <m/>
    <m/>
    <m/>
    <m/>
    <m/>
    <m/>
    <n v="23978"/>
    <n v="1454"/>
  </r>
  <r>
    <n v="7281"/>
    <s v="Pirelli"/>
    <x v="1"/>
    <n v="3918"/>
    <n v="5765"/>
    <x v="3"/>
    <m/>
    <m/>
    <m/>
    <m/>
    <m/>
    <m/>
    <s v="Sucata"/>
    <n v="5765"/>
    <n v="1454"/>
  </r>
  <r>
    <n v="7282"/>
    <s v="Pirelli"/>
    <x v="1"/>
    <n v="3918"/>
    <n v="98201"/>
    <x v="0"/>
    <n v="51441"/>
    <s v="DVR-M"/>
    <m/>
    <m/>
    <m/>
    <m/>
    <s v="Estoque"/>
    <n v="149642"/>
    <n v="1454"/>
  </r>
  <r>
    <n v="7289"/>
    <s v="Michelin"/>
    <x v="3"/>
    <n v="3818"/>
    <n v="84283"/>
    <x v="0"/>
    <n v="104820"/>
    <s v="X-Incity"/>
    <s v="Liso"/>
    <m/>
    <s v="DVR-M"/>
    <m/>
    <n v="19056"/>
    <n v="189103"/>
    <n v="1635"/>
  </r>
  <r>
    <n v="7290"/>
    <s v="Michelin"/>
    <x v="3"/>
    <n v="3818"/>
    <n v="80224"/>
    <x v="0"/>
    <m/>
    <m/>
    <s v="Infiltração"/>
    <m/>
    <m/>
    <m/>
    <s v="Sucata"/>
    <n v="80224"/>
    <n v="1635"/>
  </r>
  <r>
    <n v="7291"/>
    <s v="Michelin"/>
    <x v="3"/>
    <n v="3818"/>
    <n v="40328"/>
    <x v="1"/>
    <m/>
    <m/>
    <m/>
    <m/>
    <m/>
    <m/>
    <m/>
    <n v="40328"/>
    <n v="1635"/>
  </r>
  <r>
    <n v="7292"/>
    <s v="Michelin"/>
    <x v="3"/>
    <n v="3818"/>
    <n v="40328"/>
    <x v="1"/>
    <m/>
    <m/>
    <m/>
    <m/>
    <m/>
    <m/>
    <m/>
    <n v="40328"/>
    <n v="1635"/>
  </r>
  <r>
    <n v="7303"/>
    <s v="Michelin"/>
    <x v="3"/>
    <n v="3118"/>
    <n v="73128"/>
    <x v="0"/>
    <n v="108852"/>
    <s v="X-Incity"/>
    <s v="Liso"/>
    <m/>
    <m/>
    <m/>
    <s v="Sucata"/>
    <n v="181980"/>
    <n v="1635"/>
  </r>
  <r>
    <n v="7304"/>
    <s v="Michelin"/>
    <x v="3"/>
    <n v="3118"/>
    <n v="73128"/>
    <x v="0"/>
    <n v="120966"/>
    <s v="X-Incity"/>
    <s v="Liso"/>
    <m/>
    <m/>
    <m/>
    <n v="19054"/>
    <n v="194094"/>
    <n v="1635"/>
  </r>
  <r>
    <n v="7305"/>
    <s v="Michelin"/>
    <x v="3"/>
    <n v="3118"/>
    <n v="74139"/>
    <x v="0"/>
    <n v="132491"/>
    <s v="X-Incity"/>
    <s v="Liso"/>
    <m/>
    <m/>
    <m/>
    <s v="Sucata"/>
    <n v="206630"/>
    <n v="1635"/>
  </r>
  <r>
    <n v="7306"/>
    <s v="Michelin"/>
    <x v="3"/>
    <n v="3118"/>
    <n v="77279"/>
    <x v="1"/>
    <m/>
    <m/>
    <m/>
    <m/>
    <m/>
    <m/>
    <m/>
    <n v="77279"/>
    <n v="1635"/>
  </r>
  <r>
    <n v="7307"/>
    <s v="Michelin"/>
    <x v="3"/>
    <n v="3118"/>
    <n v="27954"/>
    <x v="1"/>
    <m/>
    <m/>
    <m/>
    <m/>
    <m/>
    <m/>
    <m/>
    <n v="27954"/>
    <n v="1635"/>
  </r>
  <r>
    <n v="7308"/>
    <s v="Michelin"/>
    <x v="3"/>
    <n v="3118"/>
    <n v="27954"/>
    <x v="1"/>
    <m/>
    <m/>
    <m/>
    <m/>
    <m/>
    <m/>
    <m/>
    <n v="27954"/>
    <n v="1635"/>
  </r>
  <r>
    <n v="7309"/>
    <s v="Michelin"/>
    <x v="3"/>
    <n v="2918"/>
    <n v="78236"/>
    <x v="0"/>
    <m/>
    <s v="X-Incity"/>
    <s v="s/ dados"/>
    <m/>
    <m/>
    <m/>
    <n v="9004"/>
    <n v="78236"/>
    <n v="1635"/>
  </r>
  <r>
    <n v="7310"/>
    <s v="Michelin"/>
    <x v="3"/>
    <n v="3118"/>
    <n v="75096"/>
    <x v="3"/>
    <n v="102178"/>
    <s v="X-Incity"/>
    <s v="Furado"/>
    <m/>
    <m/>
    <m/>
    <s v="Conserto"/>
    <n v="177274"/>
    <n v="1635"/>
  </r>
  <r>
    <n v="7339"/>
    <s v="Michelin"/>
    <x v="3"/>
    <n v="519"/>
    <n v="91414"/>
    <x v="0"/>
    <n v="123657"/>
    <s v="X-Incity"/>
    <s v="Liso"/>
    <m/>
    <s v="X-Incity"/>
    <m/>
    <s v="Estoque"/>
    <n v="215071"/>
    <n v="1635"/>
  </r>
  <r>
    <n v="7340"/>
    <s v="Michelin"/>
    <x v="3"/>
    <n v="519"/>
    <n v="91414"/>
    <x v="0"/>
    <n v="70361"/>
    <s v="X-Incity"/>
    <s v="Furado"/>
    <m/>
    <m/>
    <m/>
    <s v="Sucata"/>
    <n v="161775"/>
    <n v="1635"/>
  </r>
  <r>
    <n v="7341"/>
    <s v="Michelin"/>
    <x v="3"/>
    <n v="519"/>
    <n v="14645"/>
    <x v="1"/>
    <m/>
    <m/>
    <m/>
    <m/>
    <m/>
    <m/>
    <m/>
    <n v="14645"/>
    <n v="1635"/>
  </r>
  <r>
    <n v="7342"/>
    <s v="Michelin"/>
    <x v="3"/>
    <n v="519"/>
    <n v="14645"/>
    <x v="1"/>
    <m/>
    <m/>
    <m/>
    <m/>
    <m/>
    <m/>
    <m/>
    <n v="14645"/>
    <n v="1635"/>
  </r>
  <r>
    <n v="7343"/>
    <s v="Michelin"/>
    <x v="3"/>
    <n v="519"/>
    <n v="103272"/>
    <x v="0"/>
    <n v="114068"/>
    <s v="X-Incity"/>
    <s v="Liso"/>
    <m/>
    <s v="DVR-M"/>
    <m/>
    <n v="19056"/>
    <n v="217340"/>
    <n v="1635"/>
  </r>
  <r>
    <n v="7344"/>
    <s v="Michelin"/>
    <x v="3"/>
    <n v="519"/>
    <n v="116419"/>
    <x v="0"/>
    <m/>
    <m/>
    <m/>
    <m/>
    <m/>
    <m/>
    <n v="19060"/>
    <n v="116419"/>
    <n v="1635"/>
  </r>
  <r>
    <n v="7345"/>
    <s v="Michelin"/>
    <x v="3"/>
    <n v="519"/>
    <n v="17644"/>
    <x v="1"/>
    <m/>
    <m/>
    <m/>
    <m/>
    <m/>
    <m/>
    <m/>
    <n v="17644"/>
    <n v="1635"/>
  </r>
  <r>
    <n v="7346"/>
    <s v="Michelin"/>
    <x v="3"/>
    <n v="519"/>
    <n v="17644"/>
    <x v="1"/>
    <m/>
    <m/>
    <m/>
    <m/>
    <m/>
    <m/>
    <m/>
    <n v="17644"/>
    <n v="1635"/>
  </r>
  <r>
    <n v="7389"/>
    <s v="Michelin"/>
    <x v="3"/>
    <n v="1419"/>
    <n v="5904"/>
    <x v="1"/>
    <m/>
    <m/>
    <m/>
    <m/>
    <m/>
    <m/>
    <m/>
    <n v="5904"/>
    <n v="1635"/>
  </r>
  <r>
    <n v="7390"/>
    <s v="Michelin"/>
    <x v="3"/>
    <n v="1419"/>
    <n v="5904"/>
    <x v="1"/>
    <m/>
    <m/>
    <m/>
    <m/>
    <m/>
    <m/>
    <m/>
    <n v="5904"/>
    <n v="1635"/>
  </r>
  <r>
    <n v="7391"/>
    <s v="Michelin"/>
    <x v="3"/>
    <n v="1419"/>
    <n v="14098"/>
    <x v="1"/>
    <m/>
    <m/>
    <m/>
    <m/>
    <m/>
    <m/>
    <m/>
    <n v="14098"/>
    <n v="1635"/>
  </r>
  <r>
    <n v="7392"/>
    <s v="Michelin"/>
    <x v="3"/>
    <n v="1419"/>
    <n v="14098"/>
    <x v="1"/>
    <m/>
    <m/>
    <m/>
    <m/>
    <m/>
    <m/>
    <m/>
    <n v="14098"/>
    <n v="1635"/>
  </r>
  <r>
    <n v="7393"/>
    <s v="Michelin"/>
    <x v="3"/>
    <n v="1419"/>
    <n v="82001"/>
    <x v="0"/>
    <m/>
    <s v="X-Incity"/>
    <s v="s/ dados"/>
    <m/>
    <m/>
    <m/>
    <n v="9004"/>
    <n v="82001"/>
    <n v="1766"/>
  </r>
  <r>
    <n v="7394"/>
    <s v="Michelin"/>
    <x v="3"/>
    <n v="1419"/>
    <n v="82001"/>
    <x v="0"/>
    <m/>
    <s v="X-Incity"/>
    <m/>
    <m/>
    <m/>
    <m/>
    <n v="8005"/>
    <n v="82001"/>
    <n v="1766"/>
  </r>
  <r>
    <n v="7395"/>
    <s v="Michelin"/>
    <x v="3"/>
    <n v="1219"/>
    <n v="83619"/>
    <x v="0"/>
    <m/>
    <s v="X-Incity"/>
    <m/>
    <m/>
    <m/>
    <m/>
    <n v="8005"/>
    <n v="83619"/>
    <n v="1766"/>
  </r>
  <r>
    <n v="7396"/>
    <s v="Michelin"/>
    <x v="3"/>
    <n v="1219"/>
    <n v="91767"/>
    <x v="3"/>
    <m/>
    <s v="X-Incity"/>
    <m/>
    <m/>
    <m/>
    <m/>
    <n v="19054"/>
    <n v="91767"/>
    <n v="1766"/>
  </r>
  <r>
    <n v="7397"/>
    <s v="Michelin"/>
    <x v="3"/>
    <n v="1219"/>
    <n v="89348"/>
    <x v="0"/>
    <m/>
    <s v="DVR-M"/>
    <m/>
    <m/>
    <m/>
    <m/>
    <n v="19052"/>
    <n v="89348"/>
    <n v="1766"/>
  </r>
  <r>
    <n v="7398"/>
    <s v="Michelin"/>
    <x v="3"/>
    <n v="1219"/>
    <n v="89229"/>
    <x v="0"/>
    <m/>
    <s v="X-Incity"/>
    <m/>
    <m/>
    <m/>
    <m/>
    <n v="19054"/>
    <n v="89229"/>
    <n v="1766"/>
  </r>
  <r>
    <n v="7399"/>
    <s v="Michelin"/>
    <x v="3"/>
    <n v="1419"/>
    <n v="19344"/>
    <x v="1"/>
    <m/>
    <m/>
    <m/>
    <m/>
    <m/>
    <m/>
    <m/>
    <n v="19344"/>
    <n v="1766"/>
  </r>
  <r>
    <n v="7400"/>
    <s v="Michelin"/>
    <x v="3"/>
    <n v="1419"/>
    <n v="19344"/>
    <x v="1"/>
    <m/>
    <m/>
    <m/>
    <m/>
    <m/>
    <m/>
    <m/>
    <n v="19344"/>
    <n v="1766"/>
  </r>
  <r>
    <n v="7431"/>
    <s v="Michelin"/>
    <x v="3"/>
    <n v="2219"/>
    <n v="23264"/>
    <x v="1"/>
    <m/>
    <m/>
    <m/>
    <m/>
    <m/>
    <m/>
    <m/>
    <n v="23264"/>
    <n v="1766"/>
  </r>
  <r>
    <n v="7432"/>
    <s v="Michelin"/>
    <x v="3"/>
    <n v="2219"/>
    <n v="23264"/>
    <x v="1"/>
    <m/>
    <m/>
    <m/>
    <m/>
    <m/>
    <m/>
    <m/>
    <n v="23264"/>
    <n v="1766"/>
  </r>
  <r>
    <n v="7433"/>
    <s v="Michelin"/>
    <x v="3"/>
    <n v="2319"/>
    <n v="113354"/>
    <x v="0"/>
    <m/>
    <s v="DVR-M"/>
    <m/>
    <m/>
    <m/>
    <m/>
    <n v="19060"/>
    <n v="113354"/>
    <n v="1766"/>
  </r>
  <r>
    <n v="7434"/>
    <s v="Michelin"/>
    <x v="3"/>
    <n v="2319"/>
    <n v="113354"/>
    <x v="0"/>
    <m/>
    <s v="DVR-M"/>
    <m/>
    <m/>
    <m/>
    <m/>
    <n v="19060"/>
    <n v="113354"/>
    <n v="1766"/>
  </r>
  <r>
    <n v="7435"/>
    <s v="Michelin"/>
    <x v="3"/>
    <n v="2219"/>
    <n v="103513"/>
    <x v="0"/>
    <m/>
    <s v="DVR-M"/>
    <m/>
    <m/>
    <m/>
    <m/>
    <n v="19060"/>
    <n v="103513"/>
    <n v="1766"/>
  </r>
  <r>
    <n v="7436"/>
    <s v="Michelin"/>
    <x v="3"/>
    <n v="2219"/>
    <n v="92478"/>
    <x v="0"/>
    <m/>
    <s v="DVR-M"/>
    <m/>
    <m/>
    <m/>
    <m/>
    <n v="19052"/>
    <n v="92478"/>
    <n v="1766"/>
  </r>
  <r>
    <n v="7453"/>
    <s v="Bridgestone"/>
    <x v="4"/>
    <n v="919"/>
    <n v="75819"/>
    <x v="0"/>
    <n v="46269"/>
    <s v="DVR-M"/>
    <s v="Furado"/>
    <m/>
    <m/>
    <m/>
    <s v="Sucata"/>
    <n v="122088"/>
    <n v="1766"/>
  </r>
  <r>
    <n v="7454"/>
    <s v="Bridgestone"/>
    <x v="4"/>
    <n v="219"/>
    <n v="41688"/>
    <x v="3"/>
    <n v="106603"/>
    <s v="DVR-M"/>
    <s v="Liso"/>
    <m/>
    <m/>
    <m/>
    <s v="Estoque"/>
    <n v="148291"/>
    <n v="1766"/>
  </r>
  <r>
    <n v="7455"/>
    <s v="Bridgestone"/>
    <x v="4"/>
    <n v="619"/>
    <n v="91464"/>
    <x v="0"/>
    <n v="79507"/>
    <s v="DVR-M"/>
    <s v="Liso"/>
    <m/>
    <m/>
    <m/>
    <m/>
    <n v="170971"/>
    <n v="1766"/>
  </r>
  <r>
    <n v="7456"/>
    <s v="Bridgestone"/>
    <x v="4"/>
    <n v="919"/>
    <n v="91464"/>
    <x v="0"/>
    <n v="75504"/>
    <s v="DVR-M"/>
    <s v="Liso"/>
    <m/>
    <m/>
    <m/>
    <m/>
    <n v="166968"/>
    <n v="1766"/>
  </r>
  <r>
    <n v="7457"/>
    <s v="Bridgestone"/>
    <x v="4"/>
    <n v="919"/>
    <n v="91464"/>
    <x v="0"/>
    <n v="90147"/>
    <s v="DVR-M"/>
    <s v="Liso"/>
    <m/>
    <m/>
    <m/>
    <m/>
    <n v="181611"/>
    <n v="1766"/>
  </r>
  <r>
    <n v="7458"/>
    <s v="Bridgestone"/>
    <x v="4"/>
    <n v="919"/>
    <n v="91464"/>
    <x v="0"/>
    <n v="79507"/>
    <s v="DVR-M"/>
    <s v="Liso"/>
    <m/>
    <m/>
    <m/>
    <m/>
    <n v="170971"/>
    <n v="1766"/>
  </r>
  <r>
    <n v="7459"/>
    <s v="Michelin"/>
    <x v="3"/>
    <n v="1319"/>
    <n v="89435"/>
    <x v="0"/>
    <m/>
    <s v="X-Incity"/>
    <m/>
    <m/>
    <m/>
    <m/>
    <n v="19057"/>
    <n v="89435"/>
    <n v="1766"/>
  </r>
  <r>
    <n v="7460"/>
    <s v="Michelin"/>
    <x v="3"/>
    <n v="1319"/>
    <n v="96890"/>
    <x v="0"/>
    <m/>
    <s v="X-Incity"/>
    <m/>
    <m/>
    <m/>
    <m/>
    <n v="19054"/>
    <n v="96890"/>
    <n v="1766"/>
  </r>
  <r>
    <n v="7461"/>
    <s v="Michelin"/>
    <x v="3"/>
    <n v="1519"/>
    <n v="98225"/>
    <x v="0"/>
    <n v="96797"/>
    <s v="X-Incity"/>
    <s v="Furado"/>
    <m/>
    <m/>
    <m/>
    <s v="Sucata"/>
    <n v="195022"/>
    <n v="1766"/>
  </r>
  <r>
    <n v="7462"/>
    <s v="Michelin"/>
    <x v="3"/>
    <n v="1319"/>
    <n v="85010"/>
    <x v="0"/>
    <m/>
    <s v="X-Incity"/>
    <m/>
    <m/>
    <m/>
    <m/>
    <n v="19058"/>
    <n v="85010"/>
    <n v="1766"/>
  </r>
  <r>
    <n v="7463"/>
    <s v="Michelin"/>
    <x v="3"/>
    <n v="1319"/>
    <n v="98225"/>
    <x v="0"/>
    <m/>
    <s v="X-Incity"/>
    <m/>
    <m/>
    <m/>
    <m/>
    <n v="19057"/>
    <n v="98225"/>
    <n v="1766"/>
  </r>
  <r>
    <n v="7464"/>
    <s v="Michelin"/>
    <x v="3"/>
    <n v="1319"/>
    <n v="88406"/>
    <x v="0"/>
    <n v="83446"/>
    <s v="DVR-M"/>
    <s v="Liso"/>
    <n v="32906"/>
    <s v="VL-110L"/>
    <s v="Infiltração"/>
    <s v="Sucata"/>
    <n v="204758"/>
    <n v="1766"/>
  </r>
  <r>
    <n v="7465"/>
    <s v="Goodyear"/>
    <x v="5"/>
    <n v="819"/>
    <n v="112510"/>
    <x v="0"/>
    <m/>
    <s v="DVR-M"/>
    <m/>
    <m/>
    <m/>
    <m/>
    <n v="19052"/>
    <n v="112510"/>
    <n v="1766"/>
  </r>
  <r>
    <n v="7466"/>
    <s v="Goodyear"/>
    <x v="5"/>
    <n v="719"/>
    <n v="91905"/>
    <x v="2"/>
    <n v="60511"/>
    <s v="DVR-M"/>
    <s v="Infiltração"/>
    <m/>
    <m/>
    <m/>
    <s v="Sucata"/>
    <n v="152416"/>
    <n v="1766"/>
  </r>
  <r>
    <n v="7467"/>
    <s v="Goodyear"/>
    <x v="5"/>
    <n v="819"/>
    <n v="96162"/>
    <x v="0"/>
    <n v="67610"/>
    <s v="DVR-M"/>
    <s v="Liso"/>
    <n v="36583"/>
    <s v="VL-110L"/>
    <s v="Corte lateral"/>
    <s v="Sucata"/>
    <n v="200355"/>
    <n v="1766"/>
  </r>
  <r>
    <n v="7468"/>
    <s v="Goodyear"/>
    <x v="5"/>
    <n v="819"/>
    <n v="96162"/>
    <x v="0"/>
    <n v="44106"/>
    <s v="DVR-M"/>
    <s v="Infiltração"/>
    <m/>
    <m/>
    <m/>
    <s v="Sucata"/>
    <n v="140268"/>
    <n v="1766"/>
  </r>
  <r>
    <n v="7469"/>
    <s v="Goodyear"/>
    <x v="5"/>
    <n v="819"/>
    <n v="96162"/>
    <x v="0"/>
    <n v="67722"/>
    <s v="DVR-M"/>
    <s v="Liso"/>
    <m/>
    <m/>
    <m/>
    <m/>
    <n v="163884"/>
    <n v="1766"/>
  </r>
  <r>
    <n v="7470"/>
    <s v="Goodyear"/>
    <x v="5"/>
    <n v="1519"/>
    <n v="96162"/>
    <x v="0"/>
    <m/>
    <m/>
    <m/>
    <m/>
    <m/>
    <m/>
    <s v="Sucata"/>
    <n v="96162"/>
    <n v="1766"/>
  </r>
  <r>
    <n v="7471"/>
    <s v="Michelin"/>
    <x v="3"/>
    <n v="1319"/>
    <n v="93978"/>
    <x v="0"/>
    <m/>
    <m/>
    <s v="s/ dados"/>
    <m/>
    <m/>
    <m/>
    <n v="103"/>
    <n v="93978"/>
    <n v="1766"/>
  </r>
  <r>
    <n v="7472"/>
    <s v="Michelin"/>
    <x v="3"/>
    <n v="1319"/>
    <n v="93510"/>
    <x v="0"/>
    <n v="63816"/>
    <s v="X-Incity"/>
    <m/>
    <m/>
    <m/>
    <m/>
    <s v="Estoque"/>
    <n v="157326"/>
    <n v="1766"/>
  </r>
  <r>
    <n v="7473"/>
    <s v="Michelin"/>
    <x v="3"/>
    <n v="1319"/>
    <n v="96747"/>
    <x v="0"/>
    <m/>
    <s v="DVR-M"/>
    <m/>
    <m/>
    <m/>
    <m/>
    <n v="19056"/>
    <n v="96747"/>
    <n v="1766"/>
  </r>
  <r>
    <n v="7474"/>
    <s v="Michelin"/>
    <x v="3"/>
    <n v="1319"/>
    <n v="79693"/>
    <x v="0"/>
    <n v="83758"/>
    <s v="DVR-M"/>
    <s v="Liso"/>
    <m/>
    <s v="VL-110L"/>
    <s v="Infiltração"/>
    <s v="Sucata"/>
    <n v="163451"/>
    <n v="1766"/>
  </r>
  <r>
    <n v="7475"/>
    <s v="Michelin"/>
    <x v="3"/>
    <n v="1319"/>
    <n v="41081"/>
    <x v="1"/>
    <m/>
    <m/>
    <m/>
    <m/>
    <m/>
    <m/>
    <m/>
    <n v="41081"/>
    <n v="1766"/>
  </r>
  <r>
    <n v="7476"/>
    <s v="Michelin"/>
    <x v="3"/>
    <n v="1319"/>
    <n v="41081"/>
    <x v="1"/>
    <m/>
    <m/>
    <m/>
    <m/>
    <m/>
    <m/>
    <m/>
    <n v="41081"/>
    <n v="1766"/>
  </r>
  <r>
    <n v="7477"/>
    <s v="Michelin"/>
    <x v="3"/>
    <n v="1619"/>
    <n v="95114"/>
    <x v="0"/>
    <n v="84512"/>
    <s v="X-Incity"/>
    <s v="Infiltração"/>
    <m/>
    <m/>
    <m/>
    <s v="Sucata"/>
    <n v="179626"/>
    <n v="1766"/>
  </r>
  <r>
    <n v="7478"/>
    <s v="Michelin"/>
    <x v="3"/>
    <n v="1519"/>
    <n v="95214"/>
    <x v="0"/>
    <n v="108108"/>
    <s v="X-Incity"/>
    <s v="Liso"/>
    <m/>
    <m/>
    <m/>
    <s v="Sucata"/>
    <n v="203322"/>
    <n v="1766"/>
  </r>
  <r>
    <n v="7479"/>
    <s v="Michelin"/>
    <x v="3"/>
    <n v="1519"/>
    <n v="98277"/>
    <x v="0"/>
    <n v="18802"/>
    <s v="X-Incity"/>
    <s v="Infiltração"/>
    <m/>
    <m/>
    <m/>
    <s v="Sucata"/>
    <n v="117079"/>
    <n v="1766"/>
  </r>
  <r>
    <n v="7480"/>
    <s v="Michelin"/>
    <x v="3"/>
    <n v="1519"/>
    <n v="95673"/>
    <x v="0"/>
    <m/>
    <s v="DVR-M"/>
    <m/>
    <m/>
    <m/>
    <m/>
    <n v="8008"/>
    <n v="95673"/>
    <n v="1766"/>
  </r>
  <r>
    <n v="7481"/>
    <s v="Michelin"/>
    <x v="3"/>
    <n v="1519"/>
    <n v="98277"/>
    <x v="0"/>
    <n v="123657"/>
    <s v="X-Incity"/>
    <s v="Liso"/>
    <m/>
    <s v="X-Incity"/>
    <m/>
    <s v="Estoque"/>
    <n v="221934"/>
    <n v="1766"/>
  </r>
  <r>
    <n v="7482"/>
    <s v="Michelin"/>
    <x v="3"/>
    <n v="1619"/>
    <n v="98277"/>
    <x v="0"/>
    <n v="120799"/>
    <s v="X-Incity"/>
    <s v="Liso"/>
    <m/>
    <m/>
    <m/>
    <s v="Estoque"/>
    <n v="219076"/>
    <n v="1766"/>
  </r>
  <r>
    <n v="7483"/>
    <s v="Michelin"/>
    <x v="3"/>
    <n v="1319"/>
    <n v="110057"/>
    <x v="0"/>
    <m/>
    <m/>
    <s v="s/ dados"/>
    <m/>
    <m/>
    <m/>
    <n v="9004"/>
    <n v="110057"/>
    <n v="1766"/>
  </r>
  <r>
    <n v="7484"/>
    <s v="Michelin"/>
    <x v="3"/>
    <n v="1319"/>
    <n v="13224"/>
    <x v="1"/>
    <n v="19929"/>
    <s v="X-Incity"/>
    <m/>
    <m/>
    <m/>
    <m/>
    <m/>
    <n v="33153"/>
    <n v="1766"/>
  </r>
  <r>
    <n v="7485"/>
    <s v="Michelin"/>
    <x v="3"/>
    <n v="1319"/>
    <n v="109605"/>
    <x v="0"/>
    <m/>
    <s v="X-Incity"/>
    <s v="s/ dados"/>
    <m/>
    <m/>
    <m/>
    <n v="9004"/>
    <n v="109605"/>
    <n v="1766"/>
  </r>
  <r>
    <n v="7486"/>
    <s v="Michelin"/>
    <x v="3"/>
    <n v="1319"/>
    <n v="99035"/>
    <x v="0"/>
    <m/>
    <s v="X-Incity"/>
    <m/>
    <m/>
    <m/>
    <m/>
    <n v="19057"/>
    <n v="99035"/>
    <n v="1766"/>
  </r>
  <r>
    <n v="7487"/>
    <s v="Michelin"/>
    <x v="3"/>
    <n v="1319"/>
    <n v="99035"/>
    <x v="0"/>
    <m/>
    <m/>
    <s v="Infiltração"/>
    <m/>
    <m/>
    <m/>
    <s v="Sucata"/>
    <n v="99035"/>
    <n v="1766"/>
  </r>
  <r>
    <n v="7488"/>
    <s v="Michelin"/>
    <x v="3"/>
    <n v="1319"/>
    <n v="99035"/>
    <x v="0"/>
    <n v="97512"/>
    <s v="X-Incity"/>
    <s v="Desg. Irregular"/>
    <m/>
    <m/>
    <m/>
    <s v="Estoque"/>
    <n v="196547"/>
    <n v="1766"/>
  </r>
  <r>
    <n v="7489"/>
    <s v="Michelin"/>
    <x v="3"/>
    <n v="1319"/>
    <n v="21595"/>
    <x v="1"/>
    <n v="32467"/>
    <s v="X-Incity"/>
    <m/>
    <m/>
    <m/>
    <m/>
    <m/>
    <n v="54062"/>
    <n v="1766"/>
  </r>
  <r>
    <n v="7490"/>
    <s v="Michelin"/>
    <x v="3"/>
    <n v="1319"/>
    <n v="26649"/>
    <x v="1"/>
    <n v="19275"/>
    <s v="X-Incity"/>
    <m/>
    <m/>
    <m/>
    <m/>
    <m/>
    <n v="45924"/>
    <n v="1766"/>
  </r>
  <r>
    <n v="7491"/>
    <s v="Michelin"/>
    <x v="3"/>
    <n v="1319"/>
    <n v="104079"/>
    <x v="0"/>
    <m/>
    <s v="X-Incity"/>
    <m/>
    <m/>
    <m/>
    <m/>
    <n v="8002"/>
    <n v="104079"/>
    <n v="1766"/>
  </r>
  <r>
    <n v="7492"/>
    <s v="Michelin"/>
    <x v="3"/>
    <n v="1319"/>
    <n v="95515"/>
    <x v="0"/>
    <m/>
    <s v="X-Incity"/>
    <m/>
    <m/>
    <m/>
    <m/>
    <n v="8002"/>
    <n v="95515"/>
    <n v="1766"/>
  </r>
  <r>
    <n v="7493"/>
    <s v="Michelin"/>
    <x v="3"/>
    <n v="1319"/>
    <n v="37475"/>
    <x v="1"/>
    <m/>
    <m/>
    <m/>
    <m/>
    <m/>
    <m/>
    <m/>
    <n v="37475"/>
    <n v="1766"/>
  </r>
  <r>
    <n v="7494"/>
    <s v="Michelin"/>
    <x v="3"/>
    <n v="1319"/>
    <n v="37475"/>
    <x v="1"/>
    <m/>
    <m/>
    <m/>
    <m/>
    <m/>
    <m/>
    <m/>
    <n v="37475"/>
    <n v="1766"/>
  </r>
  <r>
    <n v="7495"/>
    <s v="Michelin"/>
    <x v="3"/>
    <n v="1319"/>
    <n v="99602"/>
    <x v="0"/>
    <n v="71606"/>
    <s v="X-Incity"/>
    <s v="Furado"/>
    <m/>
    <m/>
    <m/>
    <s v="Sucata"/>
    <n v="171208"/>
    <n v="1766"/>
  </r>
  <r>
    <n v="7496"/>
    <s v="Michelin"/>
    <x v="3"/>
    <n v="1319"/>
    <n v="111506"/>
    <x v="0"/>
    <m/>
    <s v="X-Incity"/>
    <m/>
    <m/>
    <m/>
    <m/>
    <n v="8002"/>
    <n v="111506"/>
    <n v="1766"/>
  </r>
  <r>
    <n v="7497"/>
    <s v="Michelin"/>
    <x v="3"/>
    <n v="1319"/>
    <n v="76347"/>
    <x v="0"/>
    <n v="123294"/>
    <s v="X-Incity"/>
    <s v="Liso"/>
    <n v="10419"/>
    <s v="DVR-M"/>
    <s v="Corte lateral"/>
    <s v="Sucata"/>
    <n v="210060"/>
    <n v="1766"/>
  </r>
  <r>
    <n v="7498"/>
    <s v="Michelin"/>
    <x v="3"/>
    <n v="1319"/>
    <n v="119645"/>
    <x v="0"/>
    <n v="98331"/>
    <s v="X-Incity"/>
    <s v="Infiltração"/>
    <m/>
    <m/>
    <m/>
    <s v="Sucata"/>
    <n v="217976"/>
    <n v="1766"/>
  </r>
  <r>
    <n v="7499"/>
    <s v="Michelin"/>
    <x v="3"/>
    <n v="1319"/>
    <n v="115892"/>
    <x v="0"/>
    <m/>
    <s v="X-Incity"/>
    <m/>
    <m/>
    <m/>
    <m/>
    <n v="19055"/>
    <n v="115892"/>
    <n v="1766"/>
  </r>
  <r>
    <n v="7500"/>
    <s v="Michelin"/>
    <x v="3"/>
    <n v="1319"/>
    <n v="98081"/>
    <x v="0"/>
    <n v="87911"/>
    <s v="X-Incity"/>
    <s v="Furado"/>
    <m/>
    <m/>
    <m/>
    <s v="Conserto"/>
    <n v="185992"/>
    <n v="1766"/>
  </r>
  <r>
    <n v="7501"/>
    <s v="Michelin"/>
    <x v="3"/>
    <n v="1319"/>
    <n v="59816"/>
    <x v="1"/>
    <m/>
    <m/>
    <m/>
    <m/>
    <m/>
    <m/>
    <m/>
    <n v="59816"/>
    <n v="1766"/>
  </r>
  <r>
    <n v="7502"/>
    <s v="Michelin"/>
    <x v="3"/>
    <n v="1319"/>
    <n v="59816"/>
    <x v="1"/>
    <m/>
    <m/>
    <m/>
    <m/>
    <m/>
    <m/>
    <m/>
    <n v="59816"/>
    <n v="1766"/>
  </r>
  <r>
    <n v="7503"/>
    <s v="Michelin"/>
    <x v="3"/>
    <n v="1319"/>
    <n v="103837"/>
    <x v="0"/>
    <m/>
    <s v="DVR-M"/>
    <m/>
    <m/>
    <m/>
    <m/>
    <n v="8008"/>
    <n v="103837"/>
    <n v="1766"/>
  </r>
  <r>
    <n v="7504"/>
    <s v="Michelin"/>
    <x v="3"/>
    <n v="1319"/>
    <n v="98750"/>
    <x v="0"/>
    <m/>
    <s v="DVR-M"/>
    <m/>
    <m/>
    <m/>
    <m/>
    <n v="8008"/>
    <n v="98750"/>
    <n v="1766"/>
  </r>
  <r>
    <n v="7505"/>
    <s v="Michelin"/>
    <x v="3"/>
    <n v="1319"/>
    <n v="92472"/>
    <x v="0"/>
    <m/>
    <s v="X-Incity"/>
    <m/>
    <m/>
    <m/>
    <m/>
    <n v="8005"/>
    <n v="92472"/>
    <n v="1766"/>
  </r>
  <r>
    <n v="7506"/>
    <s v="Michelin"/>
    <x v="3"/>
    <n v="1319"/>
    <n v="100252"/>
    <x v="0"/>
    <m/>
    <s v="X-Incity"/>
    <m/>
    <m/>
    <m/>
    <m/>
    <n v="8005"/>
    <n v="100252"/>
    <n v="1766"/>
  </r>
  <r>
    <n v="7507"/>
    <s v="Goodyear"/>
    <x v="5"/>
    <n v="1619"/>
    <n v="93985"/>
    <x v="0"/>
    <m/>
    <s v="DVR-M"/>
    <m/>
    <m/>
    <m/>
    <m/>
    <n v="8006"/>
    <n v="93985"/>
    <n v="1766"/>
  </r>
  <r>
    <n v="7508"/>
    <s v="Goodyear"/>
    <x v="5"/>
    <n v="1619"/>
    <n v="93985"/>
    <x v="0"/>
    <m/>
    <s v="DVR-M"/>
    <m/>
    <m/>
    <m/>
    <m/>
    <n v="8006"/>
    <n v="93985"/>
    <n v="1766"/>
  </r>
  <r>
    <n v="7509"/>
    <s v="Goodyear"/>
    <x v="5"/>
    <n v="1619"/>
    <n v="108715"/>
    <x v="0"/>
    <n v="10529"/>
    <s v="DVR-M"/>
    <s v="Furado"/>
    <m/>
    <m/>
    <m/>
    <s v="Sucata"/>
    <n v="119244"/>
    <n v="1766"/>
  </r>
  <r>
    <n v="7510"/>
    <s v="Goodyear"/>
    <x v="5"/>
    <n v="1619"/>
    <n v="108715"/>
    <x v="0"/>
    <m/>
    <s v="DVR-M"/>
    <m/>
    <m/>
    <m/>
    <m/>
    <n v="8006"/>
    <n v="108715"/>
    <n v="1766"/>
  </r>
  <r>
    <n v="7511"/>
    <s v="Goodyear"/>
    <x v="5"/>
    <n v="1619"/>
    <n v="87953"/>
    <x v="0"/>
    <n v="73118"/>
    <s v="DVR-M"/>
    <s v="Liso"/>
    <m/>
    <s v="VL-110L"/>
    <m/>
    <n v="19053"/>
    <n v="161071"/>
    <n v="1766"/>
  </r>
  <r>
    <n v="7512"/>
    <s v="Goodyear"/>
    <x v="5"/>
    <n v="1619"/>
    <n v="87953"/>
    <x v="0"/>
    <n v="13588"/>
    <s v="DVR-M"/>
    <s v="Infiltração"/>
    <m/>
    <m/>
    <m/>
    <s v="Sucata"/>
    <n v="101541"/>
    <n v="1766"/>
  </r>
  <r>
    <n v="7583"/>
    <s v="FateCargo"/>
    <x v="6"/>
    <n v="3419"/>
    <n v="36368"/>
    <x v="2"/>
    <n v="67453"/>
    <s v="DVR-M"/>
    <s v="Liso"/>
    <m/>
    <m/>
    <s v="Infiltração"/>
    <s v="Sucata"/>
    <n v="103821"/>
    <n v="1454"/>
  </r>
  <r>
    <n v="7584"/>
    <s v="FateCargo"/>
    <x v="6"/>
    <n v="3419"/>
    <n v="36368"/>
    <x v="0"/>
    <n v="22146"/>
    <s v="DVR-M"/>
    <s v="Infiltração"/>
    <m/>
    <m/>
    <m/>
    <s v="Sucata"/>
    <n v="58514"/>
    <n v="1454"/>
  </r>
  <r>
    <n v="7585"/>
    <s v="FateCargo"/>
    <x v="6"/>
    <n v="4219"/>
    <n v="31578"/>
    <x v="0"/>
    <m/>
    <s v="DVR-M"/>
    <m/>
    <m/>
    <m/>
    <m/>
    <n v="8004"/>
    <n v="31578"/>
    <n v="1454"/>
  </r>
  <r>
    <n v="7586"/>
    <s v="FateCargo"/>
    <x v="6"/>
    <n v="4219"/>
    <n v="32989"/>
    <x v="0"/>
    <m/>
    <s v="DVR-M"/>
    <m/>
    <m/>
    <m/>
    <m/>
    <n v="8004"/>
    <n v="32989"/>
    <n v="1454"/>
  </r>
  <r>
    <n v="7587"/>
    <s v="FateCargo"/>
    <x v="6"/>
    <n v="4219"/>
    <n v="35612"/>
    <x v="0"/>
    <m/>
    <s v="DVR-M"/>
    <m/>
    <m/>
    <m/>
    <m/>
    <n v="8004"/>
    <n v="35612"/>
    <n v="1454"/>
  </r>
  <r>
    <n v="7588"/>
    <s v="FateCargo"/>
    <x v="6"/>
    <n v="4219"/>
    <n v="41152"/>
    <x v="0"/>
    <m/>
    <s v="DVR-M"/>
    <m/>
    <m/>
    <m/>
    <m/>
    <n v="8004"/>
    <n v="41152"/>
    <n v="1454"/>
  </r>
  <r>
    <n v="7589"/>
    <s v="FateCargo"/>
    <x v="6"/>
    <n v="4219"/>
    <n v="29838"/>
    <x v="4"/>
    <m/>
    <m/>
    <m/>
    <m/>
    <m/>
    <m/>
    <s v="Sucata"/>
    <n v="29838"/>
    <n v="1454"/>
  </r>
  <r>
    <n v="7590"/>
    <s v="FateCargo"/>
    <x v="6"/>
    <n v="3419"/>
    <n v="53327"/>
    <x v="0"/>
    <n v="56076"/>
    <s v="DVR-M"/>
    <s v="Furado"/>
    <m/>
    <m/>
    <m/>
    <s v="Sucata"/>
    <n v="109403"/>
    <n v="1454"/>
  </r>
  <r>
    <n v="7647"/>
    <s v="Michelin"/>
    <x v="3"/>
    <n v="1020"/>
    <n v="95649"/>
    <x v="0"/>
    <m/>
    <s v="X-Incity"/>
    <m/>
    <m/>
    <m/>
    <m/>
    <n v="19055"/>
    <n v="95649"/>
    <n v="1766"/>
  </r>
  <r>
    <n v="7648"/>
    <s v="Michelin"/>
    <x v="3"/>
    <n v="1020"/>
    <n v="105255"/>
    <x v="0"/>
    <m/>
    <s v="X-Incity"/>
    <m/>
    <m/>
    <m/>
    <m/>
    <n v="19055"/>
    <n v="105255"/>
    <n v="1766"/>
  </r>
  <r>
    <n v="7649"/>
    <s v="Michelin"/>
    <x v="3"/>
    <n v="1020"/>
    <n v="105267"/>
    <x v="0"/>
    <m/>
    <s v="DVR-M"/>
    <m/>
    <m/>
    <m/>
    <m/>
    <n v="8008"/>
    <n v="105267"/>
    <n v="1766"/>
  </r>
  <r>
    <n v="7650"/>
    <s v="Michelin"/>
    <x v="3"/>
    <n v="1020"/>
    <n v="105267"/>
    <x v="0"/>
    <m/>
    <m/>
    <s v="Infiltração"/>
    <m/>
    <m/>
    <m/>
    <s v="Sucata"/>
    <n v="105267"/>
    <n v="1766"/>
  </r>
  <r>
    <n v="7660"/>
    <s v="Pirelli"/>
    <x v="1"/>
    <n v="4820"/>
    <n v="121463"/>
    <x v="0"/>
    <m/>
    <s v="DVR-M"/>
    <m/>
    <m/>
    <m/>
    <m/>
    <n v="19059"/>
    <n v="121463"/>
    <n v="1766"/>
  </r>
  <r>
    <n v="7661"/>
    <s v="Pirelli"/>
    <x v="1"/>
    <n v="4820"/>
    <n v="128044"/>
    <x v="0"/>
    <m/>
    <s v="DVR-M"/>
    <m/>
    <m/>
    <m/>
    <m/>
    <n v="19059"/>
    <n v="128044"/>
    <n v="1766"/>
  </r>
  <r>
    <n v="7662"/>
    <s v="Pirelli"/>
    <x v="1"/>
    <n v="4820"/>
    <n v="101344"/>
    <x v="0"/>
    <m/>
    <s v="DVR-M"/>
    <m/>
    <m/>
    <m/>
    <m/>
    <n v="19059"/>
    <n v="101344"/>
    <n v="1766"/>
  </r>
  <r>
    <n v="7663"/>
    <s v="Pirelli"/>
    <x v="1"/>
    <n v="4820"/>
    <n v="51603"/>
    <x v="6"/>
    <m/>
    <m/>
    <m/>
    <m/>
    <m/>
    <m/>
    <s v="Estoque MSO"/>
    <n v="51603"/>
    <n v="1766"/>
  </r>
  <r>
    <n v="7682"/>
    <s v="Pirelli"/>
    <x v="1"/>
    <n v="4920"/>
    <n v="102116"/>
    <x v="3"/>
    <m/>
    <m/>
    <m/>
    <m/>
    <m/>
    <m/>
    <s v="Sucata"/>
    <n v="102116"/>
    <n v="2191"/>
  </r>
  <r>
    <n v="7683"/>
    <s v="Pirelli"/>
    <x v="1"/>
    <n v="4920"/>
    <n v="118955"/>
    <x v="0"/>
    <m/>
    <s v="DVR-M"/>
    <m/>
    <m/>
    <m/>
    <m/>
    <n v="19059"/>
    <n v="118955"/>
    <n v="2191"/>
  </r>
  <r>
    <n v="7684"/>
    <s v="Pirelli"/>
    <x v="1"/>
    <n v="4920"/>
    <n v="116317"/>
    <x v="0"/>
    <m/>
    <s v="DV-UM"/>
    <m/>
    <m/>
    <m/>
    <m/>
    <n v="19051"/>
    <n v="116317"/>
    <n v="2191"/>
  </r>
  <r>
    <n v="7685"/>
    <s v="Pirelli"/>
    <x v="1"/>
    <n v="4920"/>
    <n v="116317"/>
    <x v="0"/>
    <m/>
    <s v="DV-UM"/>
    <m/>
    <m/>
    <m/>
    <m/>
    <n v="19051"/>
    <n v="116317"/>
    <n v="2191"/>
  </r>
  <r>
    <n v="7686"/>
    <s v="Pirelli"/>
    <x v="1"/>
    <n v="4920"/>
    <m/>
    <x v="6"/>
    <m/>
    <m/>
    <m/>
    <m/>
    <m/>
    <m/>
    <n v="8008"/>
    <n v="0"/>
    <n v="2191"/>
  </r>
  <r>
    <n v="7687"/>
    <s v="Pirelli"/>
    <x v="1"/>
    <n v="4920"/>
    <m/>
    <x v="6"/>
    <m/>
    <m/>
    <m/>
    <m/>
    <m/>
    <m/>
    <n v="8008"/>
    <n v="0"/>
    <n v="2191"/>
  </r>
  <r>
    <n v="7695"/>
    <s v="Pirelli"/>
    <x v="1"/>
    <n v="1021"/>
    <m/>
    <x v="6"/>
    <m/>
    <m/>
    <m/>
    <m/>
    <m/>
    <m/>
    <n v="8005"/>
    <n v="0"/>
    <n v="2496"/>
  </r>
  <r>
    <n v="7696"/>
    <s v="Pirelli"/>
    <x v="1"/>
    <s v="0621"/>
    <m/>
    <x v="6"/>
    <m/>
    <m/>
    <m/>
    <m/>
    <m/>
    <m/>
    <n v="8005"/>
    <n v="0"/>
    <n v="2496"/>
  </r>
  <r>
    <n v="7697"/>
    <s v="Pirelli"/>
    <x v="1"/>
    <s v="0621"/>
    <n v="102707"/>
    <x v="0"/>
    <m/>
    <s v="DV-UM"/>
    <m/>
    <m/>
    <m/>
    <m/>
    <n v="19051"/>
    <n v="102707"/>
    <n v="2496"/>
  </r>
  <r>
    <n v="7698"/>
    <s v="Pirelli"/>
    <x v="1"/>
    <s v="0821"/>
    <n v="84246"/>
    <x v="3"/>
    <m/>
    <m/>
    <m/>
    <m/>
    <m/>
    <m/>
    <s v="Sucata"/>
    <n v="84246"/>
    <n v="2496"/>
  </r>
  <r>
    <n v="7699"/>
    <s v="Pirelli"/>
    <x v="1"/>
    <s v="0821"/>
    <n v="99363"/>
    <x v="3"/>
    <m/>
    <s v="DV-UM"/>
    <m/>
    <m/>
    <m/>
    <m/>
    <n v="19051"/>
    <n v="99363"/>
    <n v="2496"/>
  </r>
  <r>
    <n v="7700"/>
    <s v="Pirelli"/>
    <x v="1"/>
    <n v="1021"/>
    <n v="109990"/>
    <x v="0"/>
    <m/>
    <m/>
    <m/>
    <m/>
    <m/>
    <m/>
    <s v="Estoque"/>
    <n v="109990"/>
    <n v="2496"/>
  </r>
  <r>
    <n v="7711"/>
    <s v="Pirelli"/>
    <x v="1"/>
    <n v="2721"/>
    <m/>
    <x v="6"/>
    <m/>
    <m/>
    <m/>
    <m/>
    <m/>
    <m/>
    <n v="8006"/>
    <n v="0"/>
    <n v="2451"/>
  </r>
  <r>
    <n v="7712"/>
    <s v="Pirelli"/>
    <x v="1"/>
    <n v="2721"/>
    <m/>
    <x v="6"/>
    <m/>
    <m/>
    <m/>
    <m/>
    <m/>
    <m/>
    <n v="8006"/>
    <n v="0"/>
    <n v="2451"/>
  </r>
  <r>
    <n v="7713"/>
    <s v="Pirelli"/>
    <x v="1"/>
    <n v="2621"/>
    <m/>
    <x v="6"/>
    <m/>
    <m/>
    <m/>
    <m/>
    <m/>
    <m/>
    <s v="Estoque"/>
    <n v="0"/>
    <n v="2451"/>
  </r>
  <r>
    <n v="7714"/>
    <s v="Pirelli"/>
    <x v="1"/>
    <n v="2721"/>
    <m/>
    <x v="6"/>
    <m/>
    <m/>
    <m/>
    <m/>
    <m/>
    <m/>
    <n v="19053"/>
    <n v="0"/>
    <n v="2451"/>
  </r>
  <r>
    <n v="7717"/>
    <s v="Michelin"/>
    <x v="3"/>
    <n v="3621"/>
    <m/>
    <x v="6"/>
    <m/>
    <m/>
    <m/>
    <m/>
    <m/>
    <m/>
    <n v="19060"/>
    <n v="0"/>
    <n v="2767"/>
  </r>
  <r>
    <n v="7718"/>
    <s v="Michelin"/>
    <x v="3"/>
    <n v="3621"/>
    <m/>
    <x v="6"/>
    <m/>
    <m/>
    <m/>
    <m/>
    <m/>
    <m/>
    <n v="19060"/>
    <n v="0"/>
    <n v="2767"/>
  </r>
  <r>
    <n v="7719"/>
    <s v="Michelin"/>
    <x v="3"/>
    <n v="3621"/>
    <m/>
    <x v="6"/>
    <m/>
    <m/>
    <m/>
    <m/>
    <m/>
    <m/>
    <n v="19052"/>
    <n v="0"/>
    <n v="2767"/>
  </r>
  <r>
    <n v="7720"/>
    <s v="Michelin"/>
    <x v="3"/>
    <n v="3621"/>
    <m/>
    <x v="6"/>
    <m/>
    <m/>
    <m/>
    <m/>
    <m/>
    <m/>
    <n v="19052"/>
    <n v="0"/>
    <n v="2767"/>
  </r>
  <r>
    <n v="7721"/>
    <s v="Michelin"/>
    <x v="3"/>
    <n v="3621"/>
    <m/>
    <x v="6"/>
    <m/>
    <m/>
    <m/>
    <m/>
    <m/>
    <m/>
    <n v="19056"/>
    <n v="0"/>
    <n v="2767"/>
  </r>
  <r>
    <n v="7722"/>
    <s v="Michelin"/>
    <x v="3"/>
    <n v="3621"/>
    <m/>
    <x v="6"/>
    <m/>
    <m/>
    <m/>
    <m/>
    <m/>
    <m/>
    <n v="19056"/>
    <n v="0"/>
    <n v="2767"/>
  </r>
  <r>
    <n v="7736"/>
    <s v="Michelin"/>
    <x v="3"/>
    <s v="0921"/>
    <m/>
    <x v="6"/>
    <m/>
    <m/>
    <m/>
    <m/>
    <m/>
    <m/>
    <n v="8002"/>
    <n v="0"/>
    <n v="2767"/>
  </r>
  <r>
    <n v="7737"/>
    <s v="Michelin"/>
    <x v="3"/>
    <n v="2221"/>
    <m/>
    <x v="6"/>
    <m/>
    <m/>
    <m/>
    <m/>
    <m/>
    <m/>
    <n v="8002"/>
    <n v="0"/>
    <n v="2767"/>
  </r>
  <r>
    <n v="7738"/>
    <s v="Michelin"/>
    <x v="3"/>
    <n v="5121"/>
    <m/>
    <x v="6"/>
    <m/>
    <m/>
    <m/>
    <m/>
    <m/>
    <m/>
    <n v="19059"/>
    <n v="0"/>
    <n v="2933"/>
  </r>
  <r>
    <n v="7739"/>
    <s v="Michelin"/>
    <x v="3"/>
    <n v="5121"/>
    <m/>
    <x v="6"/>
    <m/>
    <m/>
    <m/>
    <m/>
    <m/>
    <m/>
    <n v="19059"/>
    <n v="0"/>
    <n v="2933"/>
  </r>
  <r>
    <n v="7740"/>
    <s v="Michelin"/>
    <x v="3"/>
    <n v="5121"/>
    <m/>
    <x v="6"/>
    <m/>
    <m/>
    <m/>
    <m/>
    <m/>
    <m/>
    <n v="19057"/>
    <n v="0"/>
    <n v="2933"/>
  </r>
  <r>
    <n v="7741"/>
    <s v="Michelin"/>
    <x v="3"/>
    <n v="5121"/>
    <m/>
    <x v="6"/>
    <m/>
    <m/>
    <m/>
    <m/>
    <m/>
    <m/>
    <n v="19057"/>
    <n v="0"/>
    <n v="2933"/>
  </r>
  <r>
    <n v="7742"/>
    <s v="Michelin"/>
    <x v="3"/>
    <n v="5121"/>
    <m/>
    <x v="6"/>
    <m/>
    <m/>
    <m/>
    <m/>
    <m/>
    <m/>
    <n v="19055"/>
    <n v="0"/>
    <n v="2933"/>
  </r>
  <r>
    <n v="7743"/>
    <s v="Michelin"/>
    <x v="3"/>
    <n v="5121"/>
    <m/>
    <x v="6"/>
    <m/>
    <m/>
    <m/>
    <m/>
    <m/>
    <m/>
    <n v="19055"/>
    <n v="0"/>
    <n v="2933"/>
  </r>
  <r>
    <n v="7755"/>
    <s v="Michelin"/>
    <x v="3"/>
    <s v="0222"/>
    <m/>
    <x v="6"/>
    <m/>
    <m/>
    <m/>
    <m/>
    <m/>
    <m/>
    <n v="19058"/>
    <n v="0"/>
    <n v="2933"/>
  </r>
  <r>
    <n v="7756"/>
    <s v="Michelin"/>
    <x v="3"/>
    <s v="0322"/>
    <m/>
    <x v="6"/>
    <m/>
    <m/>
    <m/>
    <m/>
    <m/>
    <m/>
    <n v="19058"/>
    <n v="0"/>
    <n v="2933"/>
  </r>
  <r>
    <n v="7757"/>
    <s v="Michelin"/>
    <x v="3"/>
    <s v="0322"/>
    <m/>
    <x v="6"/>
    <m/>
    <m/>
    <m/>
    <m/>
    <m/>
    <m/>
    <n v="8006"/>
    <n v="0"/>
    <n v="2933"/>
  </r>
  <r>
    <n v="7758"/>
    <s v="Michelin"/>
    <x v="3"/>
    <s v="0222"/>
    <m/>
    <x v="3"/>
    <m/>
    <m/>
    <m/>
    <m/>
    <m/>
    <m/>
    <n v="19058"/>
    <n v="0"/>
    <n v="2933"/>
  </r>
  <r>
    <n v="7759"/>
    <s v="Michelin"/>
    <x v="3"/>
    <s v="0222"/>
    <m/>
    <x v="6"/>
    <m/>
    <m/>
    <m/>
    <m/>
    <m/>
    <m/>
    <n v="8009"/>
    <n v="0"/>
    <n v="1143.8699999999999"/>
  </r>
  <r>
    <n v="7770"/>
    <s v="Michelin"/>
    <x v="3"/>
    <s v="0222"/>
    <m/>
    <x v="6"/>
    <m/>
    <m/>
    <m/>
    <m/>
    <m/>
    <m/>
    <n v="8004"/>
    <n v="0"/>
    <n v="3358"/>
  </r>
  <r>
    <n v="7771"/>
    <s v="Michelin"/>
    <x v="3"/>
    <s v="0222"/>
    <m/>
    <x v="6"/>
    <m/>
    <m/>
    <m/>
    <m/>
    <m/>
    <m/>
    <n v="8004"/>
    <n v="0"/>
    <n v="3358"/>
  </r>
  <r>
    <n v="7786"/>
    <s v="Michelin"/>
    <x v="3"/>
    <s v="0922"/>
    <m/>
    <x v="6"/>
    <m/>
    <m/>
    <m/>
    <m/>
    <m/>
    <m/>
    <n v="8009"/>
    <n v="0"/>
    <n v="3358"/>
  </r>
  <r>
    <n v="7787"/>
    <s v="Michelin"/>
    <x v="3"/>
    <s v="0922"/>
    <m/>
    <x v="6"/>
    <m/>
    <m/>
    <m/>
    <m/>
    <m/>
    <m/>
    <n v="19054"/>
    <n v="0"/>
    <n v="3358"/>
  </r>
  <r>
    <n v="7788"/>
    <s v="Michelin"/>
    <x v="3"/>
    <s v="2022"/>
    <m/>
    <x v="6"/>
    <m/>
    <m/>
    <m/>
    <m/>
    <m/>
    <m/>
    <n v="19054"/>
    <n v="0"/>
    <n v="3358"/>
  </r>
  <r>
    <n v="7789"/>
    <s v="Michelin"/>
    <x v="3"/>
    <s v="0922"/>
    <m/>
    <x v="6"/>
    <m/>
    <m/>
    <m/>
    <m/>
    <m/>
    <m/>
    <n v="19051"/>
    <n v="0"/>
    <n v="3358"/>
  </r>
  <r>
    <n v="7790"/>
    <s v="Michelin"/>
    <x v="3"/>
    <s v="1122"/>
    <m/>
    <x v="6"/>
    <m/>
    <m/>
    <m/>
    <m/>
    <m/>
    <m/>
    <n v="19051"/>
    <n v="0"/>
    <n v="3358"/>
  </r>
  <r>
    <n v="7791"/>
    <s v="Michelin"/>
    <x v="3"/>
    <s v="1122"/>
    <m/>
    <x v="6"/>
    <m/>
    <m/>
    <m/>
    <m/>
    <m/>
    <m/>
    <n v="19053"/>
    <n v="0"/>
    <n v="3358"/>
  </r>
  <r>
    <n v="7792"/>
    <s v="Michelin"/>
    <x v="3"/>
    <s v="0922"/>
    <m/>
    <x v="6"/>
    <m/>
    <m/>
    <m/>
    <m/>
    <m/>
    <m/>
    <n v="19053"/>
    <n v="0"/>
    <n v="3358"/>
  </r>
  <r>
    <n v="7793"/>
    <s v="Michelin"/>
    <x v="3"/>
    <s v="1122"/>
    <m/>
    <x v="6"/>
    <m/>
    <m/>
    <m/>
    <m/>
    <m/>
    <m/>
    <n v="19058"/>
    <n v="0"/>
    <n v="3358"/>
  </r>
  <r>
    <n v="7794"/>
    <s v="Michelin"/>
    <x v="3"/>
    <s v="2322"/>
    <m/>
    <x v="6"/>
    <m/>
    <m/>
    <m/>
    <m/>
    <m/>
    <m/>
    <n v="19058"/>
    <n v="0"/>
    <n v="3358"/>
  </r>
  <r>
    <n v="7795"/>
    <s v="Michelin"/>
    <x v="3"/>
    <s v="2422"/>
    <m/>
    <x v="6"/>
    <m/>
    <m/>
    <m/>
    <m/>
    <m/>
    <m/>
    <s v="Estoque"/>
    <n v="0"/>
    <n v="3358"/>
  </r>
  <r>
    <n v="7796"/>
    <s v="Michelin"/>
    <x v="3"/>
    <s v="2322"/>
    <m/>
    <x v="6"/>
    <m/>
    <m/>
    <m/>
    <m/>
    <m/>
    <m/>
    <s v="Estoque"/>
    <n v="0"/>
    <n v="3358"/>
  </r>
  <r>
    <n v="15428"/>
    <s v="Michelin"/>
    <x v="3"/>
    <s v="5121"/>
    <m/>
    <x v="6"/>
    <m/>
    <m/>
    <m/>
    <m/>
    <m/>
    <m/>
    <n v="19057"/>
    <n v="0"/>
    <n v="3358"/>
  </r>
  <r>
    <n v="15429"/>
    <s v="Michelin"/>
    <x v="3"/>
    <s v="5121"/>
    <m/>
    <x v="6"/>
    <m/>
    <m/>
    <m/>
    <m/>
    <m/>
    <m/>
    <n v="19055"/>
    <n v="0"/>
    <n v="3358"/>
  </r>
  <r>
    <n v="7818"/>
    <s v="Pirelli"/>
    <x v="1"/>
    <s v="4222"/>
    <m/>
    <x v="6"/>
    <m/>
    <m/>
    <m/>
    <m/>
    <m/>
    <m/>
    <s v="Estoque"/>
    <n v="0"/>
    <n v="2900"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n v="0"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  <r>
    <m/>
    <m/>
    <x v="7"/>
    <m/>
    <m/>
    <x v="6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D93FD3-4649-47A9-977B-38E5F3CB30FF}" name="Tabela dinâmica6" cacheId="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Motivo">
  <location ref="V16:W22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multipleItemSelectionAllowed="1" showAll="0">
      <items count="8">
        <item x="3"/>
        <item x="5"/>
        <item x="2"/>
        <item x="0"/>
        <item h="1" x="4"/>
        <item h="1" x="1"/>
        <item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8"/>
  </rowFields>
  <rowItems count="6">
    <i>
      <x/>
    </i>
    <i>
      <x v="1"/>
    </i>
    <i>
      <x v="2"/>
    </i>
    <i>
      <x v="3"/>
    </i>
    <i>
      <x v="6"/>
    </i>
    <i t="grand">
      <x/>
    </i>
  </rowItems>
  <colItems count="1">
    <i/>
  </colItems>
  <dataFields count="1">
    <dataField name="Quantidade" fld="6" subtotal="count" baseField="8" baseItem="0"/>
  </dataFields>
  <formats count="8"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8" type="button" dataOnly="0" labelOnly="1" outline="0" axis="axisRow" fieldPosition="0"/>
    </format>
    <format dxfId="2">
      <pivotArea dataOnly="0" labelOnly="1" fieldPosition="0">
        <references count="1">
          <reference field="8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6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7955AA-DBE9-45E2-812E-D1D1BA44E2F6}" name="Tabela dinâmica4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Banda">
  <location ref="V7:X13" firstHeaderRow="0" firstDataRow="1" firstDataCol="1" rowPageCount="1" colPageCount="1"/>
  <pivotFields count="15"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8">
        <item x="4"/>
        <item x="0"/>
        <item x="1"/>
        <item x="3"/>
        <item x="5"/>
        <item h="1" x="2"/>
        <item h="1" x="6"/>
        <item t="default"/>
      </items>
    </pivotField>
    <pivotField name="Motivo de Saída" axis="axisPage" showAll="0">
      <items count="8">
        <item x="3"/>
        <item x="5"/>
        <item x="2"/>
        <item x="0"/>
        <item x="4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8" item="3" hier="-1"/>
  </pageFields>
  <dataFields count="2">
    <dataField name="Km Médio" fld="6" subtotal="average" baseField="7" baseItem="0"/>
    <dataField name="Quantidade" fld="6" subtotal="count" baseField="7" baseItem="1"/>
  </dataFields>
  <formats count="13">
    <format dxfId="20">
      <pivotArea collapsedLevelsAreSubtotals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">
      <pivotArea dataOnly="0" labelOnly="1" outline="0" fieldPosition="0">
        <references count="1">
          <reference field="8" count="1">
            <x v="3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">
      <pivotArea field="7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7" type="button" dataOnly="0" labelOnly="1" outline="0" axis="axisRow" fieldPosition="0"/>
    </format>
    <format dxfId="10">
      <pivotArea dataOnly="0" labelOnly="1" fieldPosition="0">
        <references count="1">
          <reference field="7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17A164-B799-45CC-BB0F-8A67D88E0554}" name="Tabela dinâmica1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Motivo">
  <location ref="B16:C22" firstHeaderRow="1" firstDataRow="1" firstDataCol="1"/>
  <pivotFields count="15">
    <pivotField showAll="0"/>
    <pivotField showAll="0"/>
    <pivotField showAll="0"/>
    <pivotField showAll="0"/>
    <pivotField showAll="0"/>
    <pivotField name="Legenda" axis="axisRow" dataField="1" showAll="0">
      <items count="8">
        <item x="5"/>
        <item x="2"/>
        <item x="3"/>
        <item x="4"/>
        <item x="0"/>
        <item h="1" x="1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Quantidade" fld="5" subtotal="count" baseField="0" baseItem="0"/>
  </dataFields>
  <formats count="8"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CB6699-A265-4DA8-9F3F-72B8E5E25C07}" name="Tabela dinâmica2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Banda">
  <location ref="B6:D14" firstHeaderRow="0" firstDataRow="1" firstDataCol="1" rowPageCount="1" colPageCount="1"/>
  <pivotFields count="15">
    <pivotField showAll="0"/>
    <pivotField showAll="0"/>
    <pivotField axis="axisRow" dataField="1" showAll="0">
      <items count="9">
        <item x="5"/>
        <item x="2"/>
        <item x="0"/>
        <item x="1"/>
        <item x="4"/>
        <item x="6"/>
        <item x="3"/>
        <item x="7"/>
        <item t="default"/>
      </items>
    </pivotField>
    <pivotField showAll="0"/>
    <pivotField dataField="1" showAll="0"/>
    <pivotField name="Motivo de Saída" axis="axisPage" multipleItemSelectionAllowed="1" showAll="0">
      <items count="8">
        <item h="1" x="5"/>
        <item h="1" x="2"/>
        <item h="1" x="3"/>
        <item h="1" x="4"/>
        <item x="0"/>
        <item h="1" x="1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Km Médio" fld="4" subtotal="average" baseField="1" baseItem="3"/>
    <dataField name="Quantidade" fld="2" subtotal="count" baseField="0" baseItem="0"/>
  </dataFields>
  <formats count="18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field="2" type="button" dataOnly="0" labelOnly="1" outline="0" axis="axisRow" fieldPosition="0"/>
    </format>
    <format dxfId="39">
      <pivotArea dataOnly="0" labelOnly="1" fieldPosition="0">
        <references count="1">
          <reference field="2" count="0"/>
        </references>
      </pivotArea>
    </format>
    <format dxfId="38">
      <pivotArea dataOnly="0" labelOnly="1" grandRow="1" outline="0" fieldPosition="0"/>
    </format>
    <format dxfId="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2" type="button" dataOnly="0" labelOnly="1" outline="0" axis="axisRow" fieldPosition="0"/>
    </format>
    <format dxfId="32">
      <pivotArea dataOnly="0" labelOnly="1" fieldPosition="0">
        <references count="1">
          <reference field="2" count="0"/>
        </references>
      </pivotArea>
    </format>
    <format dxfId="31">
      <pivotArea dataOnly="0" labelOnly="1" grandRow="1" outline="0" fieldPosition="0"/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dataOnly="0" labelOnly="1" outline="0" fieldPosition="0">
        <references count="1">
          <reference field="5" count="0"/>
        </references>
      </pivotArea>
    </format>
  </formats>
  <chartFormats count="2"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D8BC5-D9DB-4FFA-830E-CB9342D4EBDD}" name="Tabela dinâmica7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Banda">
  <location ref="AO6:AQ11" firstHeaderRow="0" firstDataRow="1" firstDataCol="1" rowPageCount="1" colPageCount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dataField="1" showAll="0">
      <items count="7">
        <item x="4"/>
        <item x="2"/>
        <item x="3"/>
        <item x="0"/>
        <item x="5"/>
        <item h="1" x="1"/>
        <item t="default"/>
      </items>
    </pivotField>
    <pivotField name="Motivo de Saída" axis="axisPage" multipleItemSelectionAllowed="1" showAll="0">
      <items count="7">
        <item h="1" x="5"/>
        <item h="1" x="0"/>
        <item h="1" x="3"/>
        <item x="2"/>
        <item h="1" x="4"/>
        <item h="1" x="1"/>
        <item t="default"/>
      </items>
    </pivotField>
    <pivotField showAll="0"/>
    <pivotField showAll="0"/>
    <pivotField showAll="0"/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11" hier="-1"/>
  </pageFields>
  <dataFields count="2">
    <dataField name="Km Médio" fld="9" subtotal="average" baseField="10" baseItem="0" numFmtId="1"/>
    <dataField name="Quantidade" fld="10" subtotal="count" baseField="0" baseItem="0"/>
  </dataFields>
  <formats count="15">
    <format dxfId="61">
      <pivotArea collapsedLevelsAreSubtotals="1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60">
      <pivotArea outline="0" collapsedLevelsAreSubtotals="1" fieldPosition="0"/>
    </format>
    <format dxfId="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10" type="button" dataOnly="0" labelOnly="1" outline="0" axis="axisRow" fieldPosition="0"/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">
      <pivotArea field="1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1">
      <pivotArea collapsedLevelsAreSubtotals="1" fieldPosition="0">
        <references count="2">
          <reference field="4294967294" count="1" selected="0">
            <x v="0"/>
          </reference>
          <reference field="10" count="4">
            <x v="0"/>
            <x v="1"/>
            <x v="2"/>
            <x v="3"/>
          </reference>
        </references>
      </pivotArea>
    </format>
    <format dxfId="50">
      <pivotArea dataOnly="0" labelOnly="1" outline="0" fieldPosition="0">
        <references count="1">
          <reference field="11" count="0"/>
        </references>
      </pivotArea>
    </format>
    <format dxfId="49">
      <pivotArea dataOnly="0" labelOnly="1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48">
      <pivotArea dataOnly="0" labelOnly="1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47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EC0D3D-6801-444F-9303-3D055EB396EB}" name="Tabela dinâmica8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Banda">
  <location ref="AO17:AP22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7">
        <item x="5"/>
        <item x="0"/>
        <item x="3"/>
        <item x="2"/>
        <item h="1" x="4"/>
        <item h="1" x="1"/>
        <item t="default"/>
      </items>
    </pivotField>
    <pivotField showAll="0"/>
    <pivotField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Quantidade" fld="9" subtotal="count" baseField="11" baseItem="0"/>
  </dataFields>
  <formats count="8">
    <format dxfId="69">
      <pivotArea outline="0" collapsedLevelsAreSubtotals="1" fieldPosition="0"/>
    </format>
    <format dxfId="68">
      <pivotArea dataOnly="0" labelOnly="1" outline="0" axis="axisValues" fieldPosition="0"/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11" type="button" dataOnly="0" labelOnly="1" outline="0" axis="axisRow" fieldPosition="0"/>
    </format>
    <format dxfId="64">
      <pivotArea dataOnly="0" labelOnly="1" fieldPosition="0">
        <references count="1">
          <reference field="11" count="0"/>
        </references>
      </pivotArea>
    </format>
    <format dxfId="63">
      <pivotArea dataOnly="0" labelOnly="1" grandRow="1" outline="0" fieldPosition="0"/>
    </format>
    <format dxfId="62">
      <pivotArea dataOnly="0" labelOnly="1" outline="0" axis="axisValues" fieldPosition="0"/>
    </format>
  </formats>
  <chartFormats count="5"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13" Type="http://schemas.openxmlformats.org/officeDocument/2006/relationships/ctrlProp" Target="../ctrlProps/ctrlProp8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12" Type="http://schemas.openxmlformats.org/officeDocument/2006/relationships/ctrlProp" Target="../ctrlProps/ctrlProp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6.xml"/><Relationship Id="rId5" Type="http://schemas.openxmlformats.org/officeDocument/2006/relationships/pivotTable" Target="../pivotTables/pivotTable5.xml"/><Relationship Id="rId10" Type="http://schemas.openxmlformats.org/officeDocument/2006/relationships/ctrlProp" Target="../ctrlProps/ctrlProp5.xml"/><Relationship Id="rId4" Type="http://schemas.openxmlformats.org/officeDocument/2006/relationships/pivotTable" Target="../pivotTables/pivotTable4.xml"/><Relationship Id="rId9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12C3D-2AC2-4928-BB5F-AEA481CFA9CB}">
  <sheetPr codeName="Dados"/>
  <dimension ref="A1:P1312"/>
  <sheetViews>
    <sheetView showGridLines="0" tabSelected="1" zoomScale="90" zoomScaleNormal="90" workbookViewId="0">
      <pane xSplit="1" topLeftCell="B1" activePane="topRight" state="frozen"/>
      <selection activeCell="A6" sqref="A6"/>
      <selection pane="topRight" activeCell="B13" sqref="B13"/>
    </sheetView>
  </sheetViews>
  <sheetFormatPr defaultRowHeight="15" x14ac:dyDescent="0.25"/>
  <cols>
    <col min="1" max="1" width="15.7109375" style="1" customWidth="1"/>
    <col min="2" max="2" width="12" customWidth="1"/>
    <col min="3" max="3" width="10.5703125" customWidth="1"/>
    <col min="4" max="4" width="8.5703125" style="1" customWidth="1"/>
    <col min="5" max="5" width="12.140625" style="1" bestFit="1" customWidth="1"/>
    <col min="6" max="6" width="16.5703125" style="1" bestFit="1" customWidth="1"/>
    <col min="7" max="7" width="11.85546875" style="1" customWidth="1"/>
    <col min="8" max="8" width="10.5703125" style="1" customWidth="1"/>
    <col min="9" max="9" width="14.7109375" style="1" bestFit="1" customWidth="1"/>
    <col min="10" max="10" width="11.28515625" style="1" customWidth="1"/>
    <col min="11" max="11" width="10" style="1" customWidth="1"/>
    <col min="12" max="12" width="14.7109375" style="1" bestFit="1" customWidth="1"/>
    <col min="13" max="13" width="15.42578125" style="1" bestFit="1" customWidth="1"/>
    <col min="14" max="14" width="16.5703125" style="1" customWidth="1"/>
    <col min="15" max="15" width="22.5703125" bestFit="1" customWidth="1"/>
    <col min="16" max="16" width="17.42578125" bestFit="1" customWidth="1"/>
  </cols>
  <sheetData>
    <row r="1" spans="1:15" ht="18.75" x14ac:dyDescent="0.3">
      <c r="A1" s="56" t="s">
        <v>33</v>
      </c>
      <c r="B1" s="57" t="s">
        <v>0</v>
      </c>
      <c r="C1" s="58" t="s">
        <v>32</v>
      </c>
      <c r="D1" s="58" t="s">
        <v>31</v>
      </c>
      <c r="E1" s="57" t="s">
        <v>2</v>
      </c>
      <c r="F1" s="75" t="s">
        <v>46</v>
      </c>
      <c r="G1" s="57" t="s">
        <v>71</v>
      </c>
      <c r="H1" s="57" t="s">
        <v>20</v>
      </c>
      <c r="I1" s="75" t="s">
        <v>47</v>
      </c>
      <c r="J1" s="57" t="s">
        <v>72</v>
      </c>
      <c r="K1" s="57" t="s">
        <v>20</v>
      </c>
      <c r="L1" s="75" t="s">
        <v>48</v>
      </c>
      <c r="M1" s="57" t="s">
        <v>18</v>
      </c>
      <c r="N1" s="57" t="s">
        <v>1</v>
      </c>
      <c r="O1" s="59" t="s">
        <v>7</v>
      </c>
    </row>
    <row r="2" spans="1:15" ht="15.75" thickBot="1" x14ac:dyDescent="0.3">
      <c r="A2" s="51"/>
      <c r="B2" s="52"/>
      <c r="C2" s="52"/>
      <c r="D2" s="53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1:15" x14ac:dyDescent="0.25">
      <c r="A3" s="39"/>
      <c r="B3" s="40"/>
      <c r="C3" s="40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40"/>
    </row>
    <row r="4" spans="1:15" x14ac:dyDescent="0.25">
      <c r="A4" s="39"/>
      <c r="B4" s="40"/>
      <c r="C4" s="40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40"/>
    </row>
    <row r="5" spans="1:15" x14ac:dyDescent="0.25">
      <c r="A5" s="37" t="s">
        <v>33</v>
      </c>
      <c r="B5" s="37" t="s">
        <v>0</v>
      </c>
      <c r="C5" s="38" t="s">
        <v>32</v>
      </c>
      <c r="D5" s="38" t="s">
        <v>31</v>
      </c>
      <c r="E5" s="37" t="s">
        <v>2</v>
      </c>
      <c r="F5" s="37" t="s">
        <v>46</v>
      </c>
      <c r="G5" s="37" t="s">
        <v>3</v>
      </c>
      <c r="H5" s="37" t="s">
        <v>20</v>
      </c>
      <c r="I5" s="37" t="s">
        <v>47</v>
      </c>
      <c r="J5" s="37" t="s">
        <v>4</v>
      </c>
      <c r="K5" s="37" t="s">
        <v>20</v>
      </c>
      <c r="L5" s="37" t="s">
        <v>48</v>
      </c>
      <c r="M5" s="37" t="s">
        <v>18</v>
      </c>
      <c r="N5" s="37" t="s">
        <v>1</v>
      </c>
      <c r="O5" s="37" t="s">
        <v>7</v>
      </c>
    </row>
    <row r="6" spans="1:15" x14ac:dyDescent="0.25">
      <c r="A6" s="2">
        <v>6727</v>
      </c>
      <c r="B6" s="3" t="s">
        <v>5</v>
      </c>
      <c r="C6" s="3" t="s">
        <v>6</v>
      </c>
      <c r="D6" s="15">
        <v>4314</v>
      </c>
      <c r="E6" s="2">
        <v>109911</v>
      </c>
      <c r="F6" s="2" t="s">
        <v>29</v>
      </c>
      <c r="G6" s="2">
        <v>104638</v>
      </c>
      <c r="H6" s="2" t="s">
        <v>21</v>
      </c>
      <c r="I6" s="2" t="s">
        <v>29</v>
      </c>
      <c r="J6" s="2">
        <v>29183</v>
      </c>
      <c r="K6" s="2" t="s">
        <v>22</v>
      </c>
      <c r="L6" s="2" t="s">
        <v>28</v>
      </c>
      <c r="M6" s="2" t="s">
        <v>19</v>
      </c>
      <c r="N6" s="2">
        <f t="shared" ref="N6:N69" si="0">SUM(E6,G6,J6,)</f>
        <v>243732</v>
      </c>
      <c r="O6" s="71">
        <v>1117</v>
      </c>
    </row>
    <row r="7" spans="1:15" x14ac:dyDescent="0.25">
      <c r="A7" s="2">
        <v>6728</v>
      </c>
      <c r="B7" s="3" t="s">
        <v>5</v>
      </c>
      <c r="C7" s="3" t="s">
        <v>6</v>
      </c>
      <c r="D7" s="15">
        <v>4314</v>
      </c>
      <c r="E7" s="2">
        <v>64188</v>
      </c>
      <c r="F7" s="2" t="s">
        <v>29</v>
      </c>
      <c r="G7" s="2">
        <v>107259</v>
      </c>
      <c r="H7" s="2" t="s">
        <v>6</v>
      </c>
      <c r="I7" s="2" t="s">
        <v>29</v>
      </c>
      <c r="J7" s="2"/>
      <c r="K7" s="2"/>
      <c r="L7" s="2"/>
      <c r="M7" s="2" t="s">
        <v>19</v>
      </c>
      <c r="N7" s="2">
        <f t="shared" si="0"/>
        <v>171447</v>
      </c>
      <c r="O7" s="71">
        <v>1117</v>
      </c>
    </row>
    <row r="8" spans="1:15" x14ac:dyDescent="0.25">
      <c r="A8" s="2">
        <v>6729</v>
      </c>
      <c r="B8" s="3" t="s">
        <v>5</v>
      </c>
      <c r="C8" s="3" t="s">
        <v>6</v>
      </c>
      <c r="D8" s="15">
        <v>4314</v>
      </c>
      <c r="E8" s="2">
        <v>83250</v>
      </c>
      <c r="F8" s="2" t="s">
        <v>51</v>
      </c>
      <c r="G8" s="2"/>
      <c r="H8" s="2"/>
      <c r="I8" s="2"/>
      <c r="J8" s="2"/>
      <c r="K8" s="2"/>
      <c r="L8" s="2"/>
      <c r="M8" s="2"/>
      <c r="N8" s="2">
        <f t="shared" si="0"/>
        <v>83250</v>
      </c>
      <c r="O8" s="71">
        <v>1117</v>
      </c>
    </row>
    <row r="9" spans="1:15" x14ac:dyDescent="0.25">
      <c r="A9" s="2">
        <v>6730</v>
      </c>
      <c r="B9" s="3" t="s">
        <v>5</v>
      </c>
      <c r="C9" s="3" t="s">
        <v>6</v>
      </c>
      <c r="D9" s="15">
        <v>4314</v>
      </c>
      <c r="E9" s="2">
        <v>81348</v>
      </c>
      <c r="F9" s="2" t="s">
        <v>29</v>
      </c>
      <c r="G9" s="2">
        <v>80912</v>
      </c>
      <c r="H9" s="2" t="s">
        <v>6</v>
      </c>
      <c r="I9" s="2" t="s">
        <v>23</v>
      </c>
      <c r="J9" s="2"/>
      <c r="K9" s="2"/>
      <c r="L9" s="2"/>
      <c r="M9" s="2" t="s">
        <v>19</v>
      </c>
      <c r="N9" s="2">
        <f t="shared" si="0"/>
        <v>162260</v>
      </c>
      <c r="O9" s="71">
        <v>1117</v>
      </c>
    </row>
    <row r="10" spans="1:15" x14ac:dyDescent="0.25">
      <c r="A10" s="2">
        <v>6731</v>
      </c>
      <c r="B10" s="3" t="s">
        <v>5</v>
      </c>
      <c r="C10" s="3" t="s">
        <v>6</v>
      </c>
      <c r="D10" s="15">
        <v>4314</v>
      </c>
      <c r="E10" s="2">
        <v>122781</v>
      </c>
      <c r="F10" s="2" t="s">
        <v>51</v>
      </c>
      <c r="G10" s="2"/>
      <c r="H10" s="2"/>
      <c r="I10" s="2"/>
      <c r="J10" s="2"/>
      <c r="K10" s="2"/>
      <c r="L10" s="2"/>
      <c r="M10" s="2"/>
      <c r="N10" s="2">
        <f t="shared" si="0"/>
        <v>122781</v>
      </c>
      <c r="O10" s="71">
        <v>1117</v>
      </c>
    </row>
    <row r="11" spans="1:15" x14ac:dyDescent="0.25">
      <c r="A11" s="2">
        <v>6732</v>
      </c>
      <c r="B11" s="3" t="s">
        <v>5</v>
      </c>
      <c r="C11" s="3" t="s">
        <v>6</v>
      </c>
      <c r="D11" s="15" t="s">
        <v>69</v>
      </c>
      <c r="E11" s="2">
        <v>77296</v>
      </c>
      <c r="F11" s="2" t="s">
        <v>29</v>
      </c>
      <c r="G11" s="2">
        <v>77760</v>
      </c>
      <c r="H11" s="2" t="s">
        <v>21</v>
      </c>
      <c r="I11" s="2" t="s">
        <v>29</v>
      </c>
      <c r="J11" s="2">
        <v>75993</v>
      </c>
      <c r="K11" s="2" t="s">
        <v>49</v>
      </c>
      <c r="L11" s="2" t="s">
        <v>29</v>
      </c>
      <c r="M11" s="2" t="s">
        <v>19</v>
      </c>
      <c r="N11" s="2">
        <f t="shared" si="0"/>
        <v>231049</v>
      </c>
      <c r="O11" s="71">
        <v>1117</v>
      </c>
    </row>
    <row r="12" spans="1:15" x14ac:dyDescent="0.25">
      <c r="A12" s="2">
        <v>6733</v>
      </c>
      <c r="B12" s="3" t="s">
        <v>5</v>
      </c>
      <c r="C12" s="3" t="s">
        <v>6</v>
      </c>
      <c r="D12" s="15">
        <v>4314</v>
      </c>
      <c r="E12" s="2">
        <v>71467</v>
      </c>
      <c r="F12" s="2" t="s">
        <v>29</v>
      </c>
      <c r="G12" s="2">
        <v>91077</v>
      </c>
      <c r="H12" s="2" t="s">
        <v>6</v>
      </c>
      <c r="I12" s="2" t="s">
        <v>29</v>
      </c>
      <c r="J12" s="2">
        <v>20694</v>
      </c>
      <c r="K12" s="2" t="s">
        <v>6</v>
      </c>
      <c r="L12" s="2" t="s">
        <v>23</v>
      </c>
      <c r="M12" s="2" t="s">
        <v>19</v>
      </c>
      <c r="N12" s="2">
        <f t="shared" si="0"/>
        <v>183238</v>
      </c>
      <c r="O12" s="71">
        <v>1117</v>
      </c>
    </row>
    <row r="13" spans="1:15" x14ac:dyDescent="0.25">
      <c r="A13" s="2">
        <v>6734</v>
      </c>
      <c r="B13" s="3" t="s">
        <v>5</v>
      </c>
      <c r="C13" s="3" t="s">
        <v>6</v>
      </c>
      <c r="D13" s="15">
        <v>4314</v>
      </c>
      <c r="E13" s="2">
        <v>75316</v>
      </c>
      <c r="F13" s="2" t="s">
        <v>29</v>
      </c>
      <c r="G13" s="2">
        <v>95016</v>
      </c>
      <c r="H13" s="2" t="s">
        <v>21</v>
      </c>
      <c r="I13" s="2" t="s">
        <v>29</v>
      </c>
      <c r="J13" s="2">
        <v>95633</v>
      </c>
      <c r="K13" s="2" t="s">
        <v>21</v>
      </c>
      <c r="L13" s="2" t="s">
        <v>23</v>
      </c>
      <c r="M13" s="2" t="s">
        <v>19</v>
      </c>
      <c r="N13" s="2">
        <f t="shared" si="0"/>
        <v>265965</v>
      </c>
      <c r="O13" s="71">
        <v>1117</v>
      </c>
    </row>
    <row r="14" spans="1:15" x14ac:dyDescent="0.25">
      <c r="A14" s="2">
        <v>6735</v>
      </c>
      <c r="B14" s="3" t="s">
        <v>5</v>
      </c>
      <c r="C14" s="3" t="s">
        <v>6</v>
      </c>
      <c r="D14" s="15">
        <v>4314</v>
      </c>
      <c r="E14" s="2">
        <v>90226</v>
      </c>
      <c r="F14" s="2" t="s">
        <v>29</v>
      </c>
      <c r="G14" s="2">
        <v>51249</v>
      </c>
      <c r="H14" s="2" t="s">
        <v>6</v>
      </c>
      <c r="I14" s="2" t="s">
        <v>23</v>
      </c>
      <c r="J14" s="2"/>
      <c r="K14" s="2"/>
      <c r="L14" s="2"/>
      <c r="M14" s="2" t="s">
        <v>19</v>
      </c>
      <c r="N14" s="2">
        <f t="shared" si="0"/>
        <v>141475</v>
      </c>
      <c r="O14" s="71">
        <v>1117</v>
      </c>
    </row>
    <row r="15" spans="1:15" x14ac:dyDescent="0.25">
      <c r="A15" s="2">
        <v>6752</v>
      </c>
      <c r="B15" s="3" t="s">
        <v>5</v>
      </c>
      <c r="C15" s="3" t="s">
        <v>6</v>
      </c>
      <c r="D15" s="15">
        <v>515</v>
      </c>
      <c r="E15" s="2">
        <v>62257</v>
      </c>
      <c r="F15" s="2" t="s">
        <v>50</v>
      </c>
      <c r="G15" s="2">
        <v>119271</v>
      </c>
      <c r="H15" s="2" t="s">
        <v>6</v>
      </c>
      <c r="I15" s="2" t="s">
        <v>29</v>
      </c>
      <c r="J15" s="2">
        <v>29668</v>
      </c>
      <c r="K15" s="2" t="s">
        <v>6</v>
      </c>
      <c r="L15" s="2" t="s">
        <v>23</v>
      </c>
      <c r="M15" s="2" t="s">
        <v>19</v>
      </c>
      <c r="N15" s="2">
        <f t="shared" si="0"/>
        <v>211196</v>
      </c>
      <c r="O15" s="71">
        <v>1117</v>
      </c>
    </row>
    <row r="16" spans="1:15" x14ac:dyDescent="0.25">
      <c r="A16" s="2">
        <v>6753</v>
      </c>
      <c r="B16" s="3" t="s">
        <v>5</v>
      </c>
      <c r="C16" s="3" t="s">
        <v>6</v>
      </c>
      <c r="D16" s="15">
        <v>515</v>
      </c>
      <c r="E16" s="2">
        <v>104492</v>
      </c>
      <c r="F16" s="2" t="s">
        <v>29</v>
      </c>
      <c r="G16" s="2">
        <v>79084</v>
      </c>
      <c r="H16" s="2" t="s">
        <v>6</v>
      </c>
      <c r="I16" s="2" t="s">
        <v>29</v>
      </c>
      <c r="J16" s="2">
        <v>45948</v>
      </c>
      <c r="K16" s="2" t="s">
        <v>6</v>
      </c>
      <c r="L16" s="2" t="s">
        <v>29</v>
      </c>
      <c r="M16" s="2" t="s">
        <v>19</v>
      </c>
      <c r="N16" s="2">
        <f t="shared" si="0"/>
        <v>229524</v>
      </c>
      <c r="O16" s="71">
        <v>1117</v>
      </c>
    </row>
    <row r="17" spans="1:15" x14ac:dyDescent="0.25">
      <c r="A17" s="2">
        <v>6754</v>
      </c>
      <c r="B17" s="3" t="s">
        <v>5</v>
      </c>
      <c r="C17" s="3" t="s">
        <v>6</v>
      </c>
      <c r="D17" s="15">
        <v>515</v>
      </c>
      <c r="E17" s="2">
        <v>80428</v>
      </c>
      <c r="F17" s="2" t="s">
        <v>50</v>
      </c>
      <c r="G17" s="2">
        <v>95016</v>
      </c>
      <c r="H17" s="2" t="s">
        <v>6</v>
      </c>
      <c r="I17" s="2" t="s">
        <v>29</v>
      </c>
      <c r="J17" s="2"/>
      <c r="K17" s="2"/>
      <c r="L17" s="2"/>
      <c r="M17" s="2" t="s">
        <v>19</v>
      </c>
      <c r="N17" s="2">
        <f t="shared" si="0"/>
        <v>175444</v>
      </c>
      <c r="O17" s="71">
        <v>1117</v>
      </c>
    </row>
    <row r="18" spans="1:15" x14ac:dyDescent="0.25">
      <c r="A18" s="2">
        <v>6755</v>
      </c>
      <c r="B18" s="3" t="s">
        <v>5</v>
      </c>
      <c r="C18" s="3" t="s">
        <v>6</v>
      </c>
      <c r="D18" s="15">
        <v>515</v>
      </c>
      <c r="E18" s="2">
        <v>107971</v>
      </c>
      <c r="F18" s="2" t="s">
        <v>29</v>
      </c>
      <c r="G18" s="2">
        <v>59027</v>
      </c>
      <c r="H18" s="2" t="s">
        <v>21</v>
      </c>
      <c r="I18" s="2" t="s">
        <v>29</v>
      </c>
      <c r="J18" s="2">
        <f>32594+14148</f>
        <v>46742</v>
      </c>
      <c r="K18" s="2" t="s">
        <v>22</v>
      </c>
      <c r="L18" s="2" t="s">
        <v>29</v>
      </c>
      <c r="M18" s="2" t="s">
        <v>19</v>
      </c>
      <c r="N18" s="2">
        <f t="shared" si="0"/>
        <v>213740</v>
      </c>
      <c r="O18" s="71">
        <v>1117</v>
      </c>
    </row>
    <row r="19" spans="1:15" x14ac:dyDescent="0.25">
      <c r="A19" s="2">
        <v>6756</v>
      </c>
      <c r="B19" s="3" t="s">
        <v>5</v>
      </c>
      <c r="C19" s="3" t="s">
        <v>6</v>
      </c>
      <c r="D19" s="15">
        <v>515</v>
      </c>
      <c r="E19" s="2">
        <f>44876+59688</f>
        <v>104564</v>
      </c>
      <c r="F19" s="2" t="s">
        <v>29</v>
      </c>
      <c r="G19" s="2">
        <v>72481</v>
      </c>
      <c r="H19" s="2" t="s">
        <v>6</v>
      </c>
      <c r="I19" s="2" t="s">
        <v>29</v>
      </c>
      <c r="J19" s="2">
        <v>35522</v>
      </c>
      <c r="K19" s="2" t="s">
        <v>6</v>
      </c>
      <c r="L19" s="2" t="s">
        <v>23</v>
      </c>
      <c r="M19" s="2" t="s">
        <v>19</v>
      </c>
      <c r="N19" s="2">
        <f t="shared" si="0"/>
        <v>212567</v>
      </c>
      <c r="O19" s="71">
        <v>1117</v>
      </c>
    </row>
    <row r="20" spans="1:15" x14ac:dyDescent="0.25">
      <c r="A20" s="2">
        <v>6757</v>
      </c>
      <c r="B20" s="3" t="s">
        <v>5</v>
      </c>
      <c r="C20" s="3" t="s">
        <v>6</v>
      </c>
      <c r="D20" s="15">
        <v>515</v>
      </c>
      <c r="E20" s="2">
        <v>94368</v>
      </c>
      <c r="F20" s="2" t="s">
        <v>29</v>
      </c>
      <c r="G20" s="2">
        <v>77456</v>
      </c>
      <c r="H20" s="2" t="s">
        <v>21</v>
      </c>
      <c r="I20" s="2" t="s">
        <v>29</v>
      </c>
      <c r="J20" s="2">
        <v>19148</v>
      </c>
      <c r="K20" s="2" t="s">
        <v>22</v>
      </c>
      <c r="L20" s="2" t="s">
        <v>23</v>
      </c>
      <c r="M20" s="2" t="s">
        <v>19</v>
      </c>
      <c r="N20" s="2">
        <f t="shared" si="0"/>
        <v>190972</v>
      </c>
      <c r="O20" s="71">
        <v>1117</v>
      </c>
    </row>
    <row r="21" spans="1:15" x14ac:dyDescent="0.25">
      <c r="A21" s="2">
        <v>6758</v>
      </c>
      <c r="B21" s="3" t="s">
        <v>5</v>
      </c>
      <c r="C21" s="3" t="s">
        <v>6</v>
      </c>
      <c r="D21" s="15">
        <v>515</v>
      </c>
      <c r="E21" s="2">
        <v>78579</v>
      </c>
      <c r="F21" s="2" t="s">
        <v>29</v>
      </c>
      <c r="G21" s="2">
        <v>69492</v>
      </c>
      <c r="H21" s="2" t="s">
        <v>21</v>
      </c>
      <c r="I21" s="2" t="s">
        <v>28</v>
      </c>
      <c r="J21" s="2">
        <v>86284</v>
      </c>
      <c r="K21" s="2" t="s">
        <v>21</v>
      </c>
      <c r="L21" s="2" t="s">
        <v>29</v>
      </c>
      <c r="M21" s="2" t="s">
        <v>19</v>
      </c>
      <c r="N21" s="2">
        <f t="shared" si="0"/>
        <v>234355</v>
      </c>
      <c r="O21" s="71">
        <v>1117</v>
      </c>
    </row>
    <row r="22" spans="1:15" x14ac:dyDescent="0.25">
      <c r="A22" s="2">
        <v>6759</v>
      </c>
      <c r="B22" s="3" t="s">
        <v>5</v>
      </c>
      <c r="C22" s="3" t="s">
        <v>6</v>
      </c>
      <c r="D22" s="15">
        <v>515</v>
      </c>
      <c r="E22" s="2">
        <v>79044</v>
      </c>
      <c r="F22" s="2" t="s">
        <v>29</v>
      </c>
      <c r="G22" s="2">
        <v>40043</v>
      </c>
      <c r="H22" s="2" t="s">
        <v>6</v>
      </c>
      <c r="I22" s="2" t="s">
        <v>29</v>
      </c>
      <c r="J22" s="2">
        <v>18494</v>
      </c>
      <c r="K22" s="2" t="s">
        <v>6</v>
      </c>
      <c r="L22" s="2" t="s">
        <v>23</v>
      </c>
      <c r="M22" s="2" t="s">
        <v>19</v>
      </c>
      <c r="N22" s="2">
        <f t="shared" si="0"/>
        <v>137581</v>
      </c>
      <c r="O22" s="71">
        <v>1117</v>
      </c>
    </row>
    <row r="23" spans="1:15" x14ac:dyDescent="0.25">
      <c r="A23" s="2">
        <v>6760</v>
      </c>
      <c r="B23" s="3" t="s">
        <v>5</v>
      </c>
      <c r="C23" s="3" t="s">
        <v>6</v>
      </c>
      <c r="D23" s="15">
        <v>515</v>
      </c>
      <c r="E23" s="2">
        <v>34644</v>
      </c>
      <c r="F23" s="2" t="s">
        <v>50</v>
      </c>
      <c r="G23" s="2">
        <v>102700</v>
      </c>
      <c r="H23" s="2" t="s">
        <v>6</v>
      </c>
      <c r="I23" s="2" t="s">
        <v>29</v>
      </c>
      <c r="J23" s="2">
        <v>33435</v>
      </c>
      <c r="K23" s="2" t="s">
        <v>6</v>
      </c>
      <c r="L23" s="2" t="s">
        <v>23</v>
      </c>
      <c r="M23" s="2" t="s">
        <v>19</v>
      </c>
      <c r="N23" s="2">
        <f t="shared" si="0"/>
        <v>170779</v>
      </c>
      <c r="O23" s="71">
        <v>1117</v>
      </c>
    </row>
    <row r="24" spans="1:15" x14ac:dyDescent="0.25">
      <c r="A24" s="2">
        <v>6761</v>
      </c>
      <c r="B24" s="3" t="s">
        <v>5</v>
      </c>
      <c r="C24" s="3" t="s">
        <v>6</v>
      </c>
      <c r="D24" s="15">
        <v>515</v>
      </c>
      <c r="E24" s="2">
        <v>34644</v>
      </c>
      <c r="F24" s="2" t="s">
        <v>50</v>
      </c>
      <c r="G24" s="2">
        <v>119271</v>
      </c>
      <c r="H24" s="2" t="s">
        <v>9</v>
      </c>
      <c r="I24" s="2" t="s">
        <v>29</v>
      </c>
      <c r="J24" s="2">
        <v>47119</v>
      </c>
      <c r="K24" s="2" t="s">
        <v>49</v>
      </c>
      <c r="L24" s="2" t="s">
        <v>29</v>
      </c>
      <c r="M24" s="2" t="s">
        <v>19</v>
      </c>
      <c r="N24" s="2">
        <f t="shared" si="0"/>
        <v>201034</v>
      </c>
      <c r="O24" s="71">
        <v>1117</v>
      </c>
    </row>
    <row r="25" spans="1:15" x14ac:dyDescent="0.25">
      <c r="A25" s="2">
        <v>6770</v>
      </c>
      <c r="B25" s="3" t="s">
        <v>5</v>
      </c>
      <c r="C25" s="3" t="s">
        <v>6</v>
      </c>
      <c r="D25" s="15">
        <v>1115</v>
      </c>
      <c r="E25" s="2">
        <v>64877</v>
      </c>
      <c r="F25" s="2" t="s">
        <v>29</v>
      </c>
      <c r="G25" s="2">
        <v>112190</v>
      </c>
      <c r="H25" s="2" t="s">
        <v>21</v>
      </c>
      <c r="I25" s="2" t="s">
        <v>29</v>
      </c>
      <c r="J25" s="2">
        <v>48989</v>
      </c>
      <c r="K25" s="2" t="s">
        <v>22</v>
      </c>
      <c r="L25" s="2" t="s">
        <v>23</v>
      </c>
      <c r="M25" s="2" t="s">
        <v>19</v>
      </c>
      <c r="N25" s="2">
        <f t="shared" si="0"/>
        <v>226056</v>
      </c>
      <c r="O25" s="71">
        <v>1117</v>
      </c>
    </row>
    <row r="26" spans="1:15" x14ac:dyDescent="0.25">
      <c r="A26" s="2">
        <v>6771</v>
      </c>
      <c r="B26" s="3" t="s">
        <v>5</v>
      </c>
      <c r="C26" s="3" t="s">
        <v>6</v>
      </c>
      <c r="D26" s="15">
        <v>1115</v>
      </c>
      <c r="E26" s="2">
        <v>87085</v>
      </c>
      <c r="F26" s="2" t="s">
        <v>29</v>
      </c>
      <c r="G26" s="2">
        <v>78710</v>
      </c>
      <c r="H26" s="2" t="s">
        <v>21</v>
      </c>
      <c r="I26" s="2" t="s">
        <v>29</v>
      </c>
      <c r="J26" s="2">
        <v>45567</v>
      </c>
      <c r="K26" s="2" t="s">
        <v>22</v>
      </c>
      <c r="L26" s="2" t="s">
        <v>29</v>
      </c>
      <c r="M26" s="2" t="s">
        <v>19</v>
      </c>
      <c r="N26" s="2">
        <f t="shared" si="0"/>
        <v>211362</v>
      </c>
      <c r="O26" s="71">
        <v>1117</v>
      </c>
    </row>
    <row r="27" spans="1:15" x14ac:dyDescent="0.25">
      <c r="A27" s="2">
        <v>6772</v>
      </c>
      <c r="B27" s="3" t="s">
        <v>5</v>
      </c>
      <c r="C27" s="3" t="s">
        <v>6</v>
      </c>
      <c r="D27" s="15">
        <v>1115</v>
      </c>
      <c r="E27" s="2">
        <v>64264</v>
      </c>
      <c r="F27" s="2" t="s">
        <v>29</v>
      </c>
      <c r="G27" s="2">
        <v>113377</v>
      </c>
      <c r="H27" s="2" t="s">
        <v>21</v>
      </c>
      <c r="I27" s="2" t="s">
        <v>29</v>
      </c>
      <c r="J27" s="2">
        <v>53770</v>
      </c>
      <c r="K27" s="2" t="s">
        <v>22</v>
      </c>
      <c r="L27" s="2" t="s">
        <v>29</v>
      </c>
      <c r="M27" s="2" t="s">
        <v>19</v>
      </c>
      <c r="N27" s="2">
        <f t="shared" si="0"/>
        <v>231411</v>
      </c>
      <c r="O27" s="71">
        <v>1117</v>
      </c>
    </row>
    <row r="28" spans="1:15" x14ac:dyDescent="0.25">
      <c r="A28" s="2">
        <v>6773</v>
      </c>
      <c r="B28" s="3" t="s">
        <v>5</v>
      </c>
      <c r="C28" s="3" t="s">
        <v>6</v>
      </c>
      <c r="D28" s="15">
        <v>1115</v>
      </c>
      <c r="E28" s="2">
        <v>98579</v>
      </c>
      <c r="F28" s="2" t="s">
        <v>29</v>
      </c>
      <c r="G28" s="2">
        <v>76307</v>
      </c>
      <c r="H28" s="2" t="s">
        <v>21</v>
      </c>
      <c r="I28" s="2" t="s">
        <v>29</v>
      </c>
      <c r="J28" s="2">
        <v>58167</v>
      </c>
      <c r="K28" s="2" t="s">
        <v>22</v>
      </c>
      <c r="L28" s="2" t="s">
        <v>29</v>
      </c>
      <c r="M28" s="2" t="s">
        <v>19</v>
      </c>
      <c r="N28" s="2">
        <f t="shared" si="0"/>
        <v>233053</v>
      </c>
      <c r="O28" s="71">
        <v>1117</v>
      </c>
    </row>
    <row r="29" spans="1:15" x14ac:dyDescent="0.25">
      <c r="A29" s="2">
        <v>6774</v>
      </c>
      <c r="B29" s="3" t="s">
        <v>5</v>
      </c>
      <c r="C29" s="3" t="s">
        <v>6</v>
      </c>
      <c r="D29" s="15">
        <v>1115</v>
      </c>
      <c r="E29" s="2">
        <v>98579</v>
      </c>
      <c r="F29" s="2" t="s">
        <v>29</v>
      </c>
      <c r="G29" s="2">
        <v>76307</v>
      </c>
      <c r="H29" s="2" t="s">
        <v>21</v>
      </c>
      <c r="I29" s="2" t="s">
        <v>29</v>
      </c>
      <c r="J29" s="2">
        <v>58167</v>
      </c>
      <c r="K29" s="2" t="s">
        <v>22</v>
      </c>
      <c r="L29" s="2" t="s">
        <v>29</v>
      </c>
      <c r="M29" s="2" t="s">
        <v>19</v>
      </c>
      <c r="N29" s="2">
        <f t="shared" si="0"/>
        <v>233053</v>
      </c>
      <c r="O29" s="71">
        <v>1117</v>
      </c>
    </row>
    <row r="30" spans="1:15" x14ac:dyDescent="0.25">
      <c r="A30" s="2">
        <v>6775</v>
      </c>
      <c r="B30" s="3" t="s">
        <v>5</v>
      </c>
      <c r="C30" s="3" t="s">
        <v>6</v>
      </c>
      <c r="D30" s="15">
        <v>1115</v>
      </c>
      <c r="E30" s="2">
        <v>66643</v>
      </c>
      <c r="F30" s="2" t="s">
        <v>29</v>
      </c>
      <c r="G30" s="2">
        <v>113377</v>
      </c>
      <c r="H30" s="2" t="s">
        <v>21</v>
      </c>
      <c r="I30" s="2" t="s">
        <v>29</v>
      </c>
      <c r="J30" s="2">
        <v>68344</v>
      </c>
      <c r="K30" s="2" t="s">
        <v>22</v>
      </c>
      <c r="L30" s="2" t="s">
        <v>29</v>
      </c>
      <c r="M30" s="2" t="s">
        <v>19</v>
      </c>
      <c r="N30" s="2">
        <f t="shared" si="0"/>
        <v>248364</v>
      </c>
      <c r="O30" s="71">
        <v>1117</v>
      </c>
    </row>
    <row r="31" spans="1:15" x14ac:dyDescent="0.25">
      <c r="A31" s="2">
        <v>6776</v>
      </c>
      <c r="B31" s="3" t="s">
        <v>5</v>
      </c>
      <c r="C31" s="3" t="s">
        <v>6</v>
      </c>
      <c r="D31" s="15">
        <v>1115</v>
      </c>
      <c r="E31" s="2">
        <v>66643</v>
      </c>
      <c r="F31" s="2" t="s">
        <v>29</v>
      </c>
      <c r="G31" s="2">
        <v>88331</v>
      </c>
      <c r="H31" s="2" t="s">
        <v>21</v>
      </c>
      <c r="I31" s="2" t="s">
        <v>29</v>
      </c>
      <c r="J31" s="2">
        <v>56272</v>
      </c>
      <c r="K31" s="2" t="s">
        <v>22</v>
      </c>
      <c r="L31" s="2" t="s">
        <v>23</v>
      </c>
      <c r="M31" s="2" t="s">
        <v>19</v>
      </c>
      <c r="N31" s="2">
        <f t="shared" si="0"/>
        <v>211246</v>
      </c>
      <c r="O31" s="71">
        <v>1117</v>
      </c>
    </row>
    <row r="32" spans="1:15" x14ac:dyDescent="0.25">
      <c r="A32" s="2">
        <v>6777</v>
      </c>
      <c r="B32" s="3" t="s">
        <v>5</v>
      </c>
      <c r="C32" s="3" t="s">
        <v>6</v>
      </c>
      <c r="D32" s="15">
        <v>1115</v>
      </c>
      <c r="E32" s="2">
        <v>82560</v>
      </c>
      <c r="F32" s="2" t="s">
        <v>29</v>
      </c>
      <c r="G32" s="2">
        <v>79084</v>
      </c>
      <c r="H32" s="2" t="s">
        <v>6</v>
      </c>
      <c r="I32" s="2" t="s">
        <v>29</v>
      </c>
      <c r="J32" s="2">
        <v>8125</v>
      </c>
      <c r="K32" s="2" t="s">
        <v>6</v>
      </c>
      <c r="L32" s="2" t="s">
        <v>28</v>
      </c>
      <c r="M32" s="2" t="s">
        <v>19</v>
      </c>
      <c r="N32" s="2">
        <f t="shared" si="0"/>
        <v>169769</v>
      </c>
      <c r="O32" s="71">
        <v>1117</v>
      </c>
    </row>
    <row r="33" spans="1:15" x14ac:dyDescent="0.25">
      <c r="A33" s="2">
        <v>6786</v>
      </c>
      <c r="B33" s="3" t="s">
        <v>5</v>
      </c>
      <c r="C33" s="3" t="s">
        <v>6</v>
      </c>
      <c r="D33" s="15">
        <v>1615</v>
      </c>
      <c r="E33" s="2">
        <v>84006</v>
      </c>
      <c r="F33" s="2" t="s">
        <v>29</v>
      </c>
      <c r="G33" s="2">
        <v>86268</v>
      </c>
      <c r="H33" s="2" t="s">
        <v>6</v>
      </c>
      <c r="I33" s="2" t="s">
        <v>29</v>
      </c>
      <c r="J33" s="2">
        <v>57228</v>
      </c>
      <c r="K33" s="2" t="s">
        <v>22</v>
      </c>
      <c r="L33" s="2" t="s">
        <v>29</v>
      </c>
      <c r="M33" s="2" t="s">
        <v>19</v>
      </c>
      <c r="N33" s="2">
        <f t="shared" si="0"/>
        <v>227502</v>
      </c>
      <c r="O33" s="71">
        <v>1117</v>
      </c>
    </row>
    <row r="34" spans="1:15" x14ac:dyDescent="0.25">
      <c r="A34" s="2">
        <v>6787</v>
      </c>
      <c r="B34" s="3" t="s">
        <v>5</v>
      </c>
      <c r="C34" s="3" t="s">
        <v>6</v>
      </c>
      <c r="D34" s="15">
        <v>1615</v>
      </c>
      <c r="E34" s="2">
        <v>49153</v>
      </c>
      <c r="F34" s="2" t="s">
        <v>29</v>
      </c>
      <c r="G34" s="2">
        <v>99647</v>
      </c>
      <c r="H34" s="2" t="s">
        <v>21</v>
      </c>
      <c r="I34" s="2" t="s">
        <v>29</v>
      </c>
      <c r="J34" s="2">
        <v>60010</v>
      </c>
      <c r="K34" s="2" t="s">
        <v>22</v>
      </c>
      <c r="L34" s="2" t="s">
        <v>29</v>
      </c>
      <c r="M34" s="2" t="s">
        <v>19</v>
      </c>
      <c r="N34" s="2">
        <f t="shared" si="0"/>
        <v>208810</v>
      </c>
      <c r="O34" s="71">
        <v>1117</v>
      </c>
    </row>
    <row r="35" spans="1:15" x14ac:dyDescent="0.25">
      <c r="A35" s="2">
        <v>6788</v>
      </c>
      <c r="B35" s="3" t="s">
        <v>5</v>
      </c>
      <c r="C35" s="3" t="s">
        <v>6</v>
      </c>
      <c r="D35" s="15">
        <v>1615</v>
      </c>
      <c r="E35" s="2">
        <v>81023</v>
      </c>
      <c r="F35" s="2" t="s">
        <v>29</v>
      </c>
      <c r="G35" s="2">
        <v>77456</v>
      </c>
      <c r="H35" s="2" t="s">
        <v>21</v>
      </c>
      <c r="I35" s="2" t="s">
        <v>29</v>
      </c>
      <c r="J35" s="2">
        <v>42754</v>
      </c>
      <c r="K35" s="2" t="s">
        <v>22</v>
      </c>
      <c r="L35" s="2" t="s">
        <v>29</v>
      </c>
      <c r="M35" s="2" t="s">
        <v>19</v>
      </c>
      <c r="N35" s="2">
        <f t="shared" si="0"/>
        <v>201233</v>
      </c>
      <c r="O35" s="71">
        <v>1117</v>
      </c>
    </row>
    <row r="36" spans="1:15" x14ac:dyDescent="0.25">
      <c r="A36" s="2">
        <v>6789</v>
      </c>
      <c r="B36" s="3" t="s">
        <v>5</v>
      </c>
      <c r="C36" s="3" t="s">
        <v>6</v>
      </c>
      <c r="D36" s="15">
        <v>1615</v>
      </c>
      <c r="E36" s="2">
        <v>107377</v>
      </c>
      <c r="F36" s="2" t="s">
        <v>29</v>
      </c>
      <c r="G36" s="2">
        <v>93124</v>
      </c>
      <c r="H36" s="2" t="s">
        <v>6</v>
      </c>
      <c r="I36" s="2" t="s">
        <v>29</v>
      </c>
      <c r="J36" s="2">
        <v>37535</v>
      </c>
      <c r="K36" s="2" t="s">
        <v>22</v>
      </c>
      <c r="L36" s="2" t="s">
        <v>28</v>
      </c>
      <c r="M36" s="2" t="s">
        <v>19</v>
      </c>
      <c r="N36" s="2">
        <f t="shared" si="0"/>
        <v>238036</v>
      </c>
      <c r="O36" s="71">
        <v>1117</v>
      </c>
    </row>
    <row r="37" spans="1:15" x14ac:dyDescent="0.25">
      <c r="A37" s="2">
        <v>6792</v>
      </c>
      <c r="B37" s="3" t="s">
        <v>5</v>
      </c>
      <c r="C37" s="3" t="s">
        <v>6</v>
      </c>
      <c r="D37" s="15">
        <v>1615</v>
      </c>
      <c r="E37" s="2">
        <v>57492</v>
      </c>
      <c r="F37" s="2" t="s">
        <v>50</v>
      </c>
      <c r="G37" s="2">
        <v>87528</v>
      </c>
      <c r="H37" s="2" t="s">
        <v>21</v>
      </c>
      <c r="I37" s="2" t="s">
        <v>29</v>
      </c>
      <c r="J37" s="2">
        <v>63723</v>
      </c>
      <c r="K37" s="2" t="s">
        <v>49</v>
      </c>
      <c r="L37" s="2" t="s">
        <v>29</v>
      </c>
      <c r="M37" s="2" t="s">
        <v>19</v>
      </c>
      <c r="N37" s="2">
        <f t="shared" si="0"/>
        <v>208743</v>
      </c>
      <c r="O37" s="71">
        <v>1117</v>
      </c>
    </row>
    <row r="38" spans="1:15" x14ac:dyDescent="0.25">
      <c r="A38" s="2">
        <v>6793</v>
      </c>
      <c r="B38" s="3" t="s">
        <v>5</v>
      </c>
      <c r="C38" s="3" t="s">
        <v>6</v>
      </c>
      <c r="D38" s="15">
        <v>1615</v>
      </c>
      <c r="E38" s="2">
        <v>62249</v>
      </c>
      <c r="F38" s="2" t="s">
        <v>28</v>
      </c>
      <c r="G38" s="2">
        <v>72481</v>
      </c>
      <c r="H38" s="2" t="s">
        <v>21</v>
      </c>
      <c r="I38" s="2" t="s">
        <v>29</v>
      </c>
      <c r="J38" s="2">
        <v>97462</v>
      </c>
      <c r="K38" s="2" t="s">
        <v>21</v>
      </c>
      <c r="L38" s="2" t="s">
        <v>29</v>
      </c>
      <c r="M38" s="2" t="s">
        <v>19</v>
      </c>
      <c r="N38" s="2">
        <f t="shared" si="0"/>
        <v>232192</v>
      </c>
      <c r="O38" s="71">
        <v>1117</v>
      </c>
    </row>
    <row r="39" spans="1:15" x14ac:dyDescent="0.25">
      <c r="A39" s="2">
        <v>6826</v>
      </c>
      <c r="B39" s="3" t="s">
        <v>5</v>
      </c>
      <c r="C39" s="3" t="s">
        <v>6</v>
      </c>
      <c r="D39" s="15">
        <v>3315</v>
      </c>
      <c r="E39" s="2">
        <v>95009</v>
      </c>
      <c r="F39" s="2" t="s">
        <v>29</v>
      </c>
      <c r="G39" s="2">
        <v>90713</v>
      </c>
      <c r="H39" s="2" t="s">
        <v>21</v>
      </c>
      <c r="I39" s="2" t="s">
        <v>29</v>
      </c>
      <c r="J39" s="2"/>
      <c r="K39" s="2"/>
      <c r="L39" s="2"/>
      <c r="M39" s="2" t="s">
        <v>19</v>
      </c>
      <c r="N39" s="2">
        <f t="shared" si="0"/>
        <v>185722</v>
      </c>
      <c r="O39" s="71">
        <v>1117</v>
      </c>
    </row>
    <row r="40" spans="1:15" x14ac:dyDescent="0.25">
      <c r="A40" s="2">
        <v>6827</v>
      </c>
      <c r="B40" s="3" t="s">
        <v>5</v>
      </c>
      <c r="C40" s="3" t="s">
        <v>6</v>
      </c>
      <c r="D40" s="15">
        <v>3315</v>
      </c>
      <c r="E40" s="2">
        <v>50337</v>
      </c>
      <c r="F40" s="2" t="s">
        <v>29</v>
      </c>
      <c r="G40" s="2">
        <v>65844</v>
      </c>
      <c r="H40" s="2" t="s">
        <v>21</v>
      </c>
      <c r="I40" s="2" t="s">
        <v>29</v>
      </c>
      <c r="J40" s="2">
        <v>52787</v>
      </c>
      <c r="K40" s="2" t="s">
        <v>22</v>
      </c>
      <c r="L40" s="2" t="s">
        <v>29</v>
      </c>
      <c r="M40" s="2" t="s">
        <v>19</v>
      </c>
      <c r="N40" s="2">
        <f t="shared" si="0"/>
        <v>168968</v>
      </c>
      <c r="O40" s="71">
        <v>1117</v>
      </c>
    </row>
    <row r="41" spans="1:15" x14ac:dyDescent="0.25">
      <c r="A41" s="2">
        <v>6828</v>
      </c>
      <c r="B41" s="3" t="s">
        <v>5</v>
      </c>
      <c r="C41" s="3" t="s">
        <v>6</v>
      </c>
      <c r="D41" s="15">
        <v>3315</v>
      </c>
      <c r="E41" s="2">
        <v>64731</v>
      </c>
      <c r="F41" s="2" t="s">
        <v>29</v>
      </c>
      <c r="G41" s="2">
        <v>78314</v>
      </c>
      <c r="H41" s="2" t="s">
        <v>21</v>
      </c>
      <c r="I41" s="2" t="s">
        <v>29</v>
      </c>
      <c r="J41" s="2">
        <v>42294</v>
      </c>
      <c r="K41" s="2" t="s">
        <v>22</v>
      </c>
      <c r="L41" s="2" t="s">
        <v>29</v>
      </c>
      <c r="M41" s="2" t="s">
        <v>19</v>
      </c>
      <c r="N41" s="2">
        <f t="shared" si="0"/>
        <v>185339</v>
      </c>
      <c r="O41" s="71">
        <v>1117</v>
      </c>
    </row>
    <row r="42" spans="1:15" x14ac:dyDescent="0.25">
      <c r="A42" s="2">
        <v>6829</v>
      </c>
      <c r="B42" s="3" t="s">
        <v>5</v>
      </c>
      <c r="C42" s="3" t="s">
        <v>6</v>
      </c>
      <c r="D42" s="15">
        <v>3315</v>
      </c>
      <c r="E42" s="2">
        <v>129606</v>
      </c>
      <c r="F42" s="2" t="s">
        <v>29</v>
      </c>
      <c r="G42" s="2">
        <v>84157</v>
      </c>
      <c r="H42" s="2" t="s">
        <v>6</v>
      </c>
      <c r="I42" s="2" t="s">
        <v>29</v>
      </c>
      <c r="J42" s="2">
        <v>35768</v>
      </c>
      <c r="K42" s="2" t="s">
        <v>22</v>
      </c>
      <c r="L42" s="2" t="s">
        <v>23</v>
      </c>
      <c r="M42" s="2" t="s">
        <v>19</v>
      </c>
      <c r="N42" s="2">
        <f t="shared" si="0"/>
        <v>249531</v>
      </c>
      <c r="O42" s="71">
        <v>1117</v>
      </c>
    </row>
    <row r="43" spans="1:15" x14ac:dyDescent="0.25">
      <c r="A43" s="4">
        <v>6830</v>
      </c>
      <c r="B43" s="3" t="s">
        <v>5</v>
      </c>
      <c r="C43" s="3" t="s">
        <v>6</v>
      </c>
      <c r="D43" s="15">
        <v>3315</v>
      </c>
      <c r="E43" s="2">
        <v>96690</v>
      </c>
      <c r="F43" s="2" t="s">
        <v>29</v>
      </c>
      <c r="G43" s="2">
        <v>114425</v>
      </c>
      <c r="H43" s="2" t="s">
        <v>21</v>
      </c>
      <c r="I43" s="2" t="s">
        <v>29</v>
      </c>
      <c r="J43" s="2">
        <v>48548</v>
      </c>
      <c r="K43" s="2" t="s">
        <v>22</v>
      </c>
      <c r="L43" s="2" t="s">
        <v>51</v>
      </c>
      <c r="M43" s="98"/>
      <c r="N43" s="2">
        <f t="shared" si="0"/>
        <v>259663</v>
      </c>
      <c r="O43" s="71">
        <v>1117</v>
      </c>
    </row>
    <row r="44" spans="1:15" x14ac:dyDescent="0.25">
      <c r="A44" s="2">
        <v>6831</v>
      </c>
      <c r="B44" s="3" t="s">
        <v>5</v>
      </c>
      <c r="C44" s="3" t="s">
        <v>6</v>
      </c>
      <c r="D44" s="15">
        <v>3315</v>
      </c>
      <c r="E44" s="2">
        <v>112988</v>
      </c>
      <c r="F44" s="2" t="s">
        <v>29</v>
      </c>
      <c r="G44" s="2">
        <v>53521</v>
      </c>
      <c r="H44" s="2" t="s">
        <v>21</v>
      </c>
      <c r="I44" s="2" t="s">
        <v>28</v>
      </c>
      <c r="J44" s="2"/>
      <c r="K44" s="2"/>
      <c r="L44" s="2"/>
      <c r="M44" s="2" t="s">
        <v>19</v>
      </c>
      <c r="N44" s="2">
        <f t="shared" si="0"/>
        <v>166509</v>
      </c>
      <c r="O44" s="71">
        <v>1117</v>
      </c>
    </row>
    <row r="45" spans="1:15" x14ac:dyDescent="0.25">
      <c r="A45" s="2">
        <v>6832</v>
      </c>
      <c r="B45" s="3" t="s">
        <v>5</v>
      </c>
      <c r="C45" s="3" t="s">
        <v>6</v>
      </c>
      <c r="D45" s="15">
        <v>3215</v>
      </c>
      <c r="E45" s="2">
        <v>50956</v>
      </c>
      <c r="F45" s="2" t="s">
        <v>29</v>
      </c>
      <c r="G45" s="2">
        <v>76307</v>
      </c>
      <c r="H45" s="2" t="s">
        <v>21</v>
      </c>
      <c r="I45" s="2" t="s">
        <v>29</v>
      </c>
      <c r="J45" s="2">
        <v>58734</v>
      </c>
      <c r="K45" s="2" t="s">
        <v>22</v>
      </c>
      <c r="L45" s="2" t="s">
        <v>29</v>
      </c>
      <c r="M45" s="2" t="s">
        <v>19</v>
      </c>
      <c r="N45" s="2">
        <f t="shared" si="0"/>
        <v>185997</v>
      </c>
      <c r="O45" s="71">
        <v>1117</v>
      </c>
    </row>
    <row r="46" spans="1:15" x14ac:dyDescent="0.25">
      <c r="A46" s="2">
        <v>6833</v>
      </c>
      <c r="B46" s="3" t="s">
        <v>5</v>
      </c>
      <c r="C46" s="3" t="s">
        <v>6</v>
      </c>
      <c r="D46" s="15">
        <v>3215</v>
      </c>
      <c r="E46" s="2">
        <v>95420</v>
      </c>
      <c r="F46" s="2" t="s">
        <v>29</v>
      </c>
      <c r="G46" s="2">
        <v>96646</v>
      </c>
      <c r="H46" s="2" t="s">
        <v>6</v>
      </c>
      <c r="I46" s="2" t="s">
        <v>29</v>
      </c>
      <c r="J46" s="2">
        <v>20231</v>
      </c>
      <c r="K46" s="2" t="s">
        <v>22</v>
      </c>
      <c r="L46" s="2" t="s">
        <v>23</v>
      </c>
      <c r="M46" s="2" t="s">
        <v>19</v>
      </c>
      <c r="N46" s="2">
        <f t="shared" si="0"/>
        <v>212297</v>
      </c>
      <c r="O46" s="71">
        <v>1117</v>
      </c>
    </row>
    <row r="47" spans="1:15" x14ac:dyDescent="0.25">
      <c r="A47" s="2">
        <v>6834</v>
      </c>
      <c r="B47" s="3" t="s">
        <v>5</v>
      </c>
      <c r="C47" s="3" t="s">
        <v>6</v>
      </c>
      <c r="D47" s="15">
        <v>3215</v>
      </c>
      <c r="E47" s="2">
        <v>83847</v>
      </c>
      <c r="F47" s="2" t="s">
        <v>29</v>
      </c>
      <c r="G47" s="2">
        <v>69532</v>
      </c>
      <c r="H47" s="2" t="s">
        <v>6</v>
      </c>
      <c r="I47" s="2" t="s">
        <v>29</v>
      </c>
      <c r="J47" s="2">
        <v>37702</v>
      </c>
      <c r="K47" s="2" t="s">
        <v>22</v>
      </c>
      <c r="L47" s="2" t="s">
        <v>23</v>
      </c>
      <c r="M47" s="2" t="s">
        <v>19</v>
      </c>
      <c r="N47" s="2">
        <f t="shared" si="0"/>
        <v>191081</v>
      </c>
      <c r="O47" s="71">
        <v>1117</v>
      </c>
    </row>
    <row r="48" spans="1:15" x14ac:dyDescent="0.25">
      <c r="A48" s="2">
        <v>6835</v>
      </c>
      <c r="B48" s="3" t="s">
        <v>5</v>
      </c>
      <c r="C48" s="3" t="s">
        <v>6</v>
      </c>
      <c r="D48" s="15">
        <v>3215</v>
      </c>
      <c r="E48" s="2">
        <v>97923</v>
      </c>
      <c r="F48" s="2" t="s">
        <v>29</v>
      </c>
      <c r="G48" s="2">
        <v>68686</v>
      </c>
      <c r="H48" s="2" t="s">
        <v>6</v>
      </c>
      <c r="I48" s="2" t="s">
        <v>29</v>
      </c>
      <c r="J48" s="2">
        <v>3422</v>
      </c>
      <c r="K48" s="2" t="s">
        <v>22</v>
      </c>
      <c r="L48" s="2" t="s">
        <v>23</v>
      </c>
      <c r="M48" s="2" t="s">
        <v>19</v>
      </c>
      <c r="N48" s="2">
        <f t="shared" si="0"/>
        <v>170031</v>
      </c>
      <c r="O48" s="71">
        <v>1117</v>
      </c>
    </row>
    <row r="49" spans="1:15" x14ac:dyDescent="0.25">
      <c r="A49" s="2">
        <v>6846</v>
      </c>
      <c r="B49" s="3" t="s">
        <v>5</v>
      </c>
      <c r="C49" s="3" t="s">
        <v>6</v>
      </c>
      <c r="D49" s="15">
        <v>3915</v>
      </c>
      <c r="E49" s="2">
        <v>93611</v>
      </c>
      <c r="F49" s="2" t="s">
        <v>29</v>
      </c>
      <c r="G49" s="2">
        <v>79412</v>
      </c>
      <c r="H49" s="2" t="s">
        <v>6</v>
      </c>
      <c r="I49" s="2" t="s">
        <v>28</v>
      </c>
      <c r="J49" s="2">
        <v>44210</v>
      </c>
      <c r="K49" s="2" t="s">
        <v>22</v>
      </c>
      <c r="L49" s="2" t="s">
        <v>23</v>
      </c>
      <c r="M49" s="2" t="s">
        <v>19</v>
      </c>
      <c r="N49" s="2">
        <f t="shared" si="0"/>
        <v>217233</v>
      </c>
      <c r="O49" s="71">
        <v>1117</v>
      </c>
    </row>
    <row r="50" spans="1:15" x14ac:dyDescent="0.25">
      <c r="A50" s="2">
        <v>6847</v>
      </c>
      <c r="B50" s="3" t="s">
        <v>5</v>
      </c>
      <c r="C50" s="3" t="s">
        <v>6</v>
      </c>
      <c r="D50" s="15">
        <v>3915</v>
      </c>
      <c r="E50" s="2">
        <v>79664</v>
      </c>
      <c r="F50" s="2" t="s">
        <v>29</v>
      </c>
      <c r="G50" s="2">
        <v>68686</v>
      </c>
      <c r="H50" s="2" t="s">
        <v>6</v>
      </c>
      <c r="I50" s="2" t="s">
        <v>29</v>
      </c>
      <c r="J50" s="2">
        <v>42468</v>
      </c>
      <c r="K50" s="2" t="s">
        <v>22</v>
      </c>
      <c r="L50" s="2" t="s">
        <v>29</v>
      </c>
      <c r="M50" s="2" t="s">
        <v>19</v>
      </c>
      <c r="N50" s="2">
        <f t="shared" si="0"/>
        <v>190818</v>
      </c>
      <c r="O50" s="71">
        <v>1117</v>
      </c>
    </row>
    <row r="51" spans="1:15" x14ac:dyDescent="0.25">
      <c r="A51" s="2">
        <v>6848</v>
      </c>
      <c r="B51" s="3" t="s">
        <v>5</v>
      </c>
      <c r="C51" s="3" t="s">
        <v>6</v>
      </c>
      <c r="D51" s="15">
        <v>3915</v>
      </c>
      <c r="E51" s="2">
        <v>66603</v>
      </c>
      <c r="F51" s="2" t="s">
        <v>29</v>
      </c>
      <c r="G51" s="2">
        <v>69354</v>
      </c>
      <c r="H51" s="2" t="s">
        <v>21</v>
      </c>
      <c r="I51" s="2" t="s">
        <v>29</v>
      </c>
      <c r="J51" s="2">
        <v>60892</v>
      </c>
      <c r="K51" s="2" t="s">
        <v>22</v>
      </c>
      <c r="L51" s="2" t="s">
        <v>29</v>
      </c>
      <c r="M51" s="2" t="s">
        <v>19</v>
      </c>
      <c r="N51" s="2">
        <f t="shared" si="0"/>
        <v>196849</v>
      </c>
      <c r="O51" s="71">
        <v>1117</v>
      </c>
    </row>
    <row r="52" spans="1:15" x14ac:dyDescent="0.25">
      <c r="A52" s="2">
        <v>6849</v>
      </c>
      <c r="B52" s="3" t="s">
        <v>5</v>
      </c>
      <c r="C52" s="3" t="s">
        <v>6</v>
      </c>
      <c r="D52" s="15">
        <v>3915</v>
      </c>
      <c r="E52" s="2">
        <v>106916</v>
      </c>
      <c r="F52" s="2" t="s">
        <v>29</v>
      </c>
      <c r="G52" s="2"/>
      <c r="H52" s="2"/>
      <c r="I52" s="2"/>
      <c r="J52" s="2"/>
      <c r="K52" s="2"/>
      <c r="L52" s="2"/>
      <c r="M52" s="2" t="s">
        <v>19</v>
      </c>
      <c r="N52" s="2">
        <f t="shared" si="0"/>
        <v>106916</v>
      </c>
      <c r="O52" s="71">
        <v>1117</v>
      </c>
    </row>
    <row r="53" spans="1:15" x14ac:dyDescent="0.25">
      <c r="A53" s="4">
        <v>6856</v>
      </c>
      <c r="B53" s="3" t="s">
        <v>8</v>
      </c>
      <c r="C53" s="3" t="s">
        <v>9</v>
      </c>
      <c r="D53" s="15">
        <v>2715</v>
      </c>
      <c r="E53" s="2">
        <v>100345</v>
      </c>
      <c r="F53" s="2" t="s">
        <v>29</v>
      </c>
      <c r="G53" s="2">
        <v>94612</v>
      </c>
      <c r="H53" s="2" t="s">
        <v>21</v>
      </c>
      <c r="I53" s="2" t="s">
        <v>29</v>
      </c>
      <c r="J53" s="2">
        <v>23700</v>
      </c>
      <c r="K53" s="2" t="s">
        <v>22</v>
      </c>
      <c r="L53" s="2" t="s">
        <v>51</v>
      </c>
      <c r="M53" s="2"/>
      <c r="N53" s="2">
        <f t="shared" si="0"/>
        <v>218657</v>
      </c>
      <c r="O53" s="71">
        <v>1240</v>
      </c>
    </row>
    <row r="54" spans="1:15" x14ac:dyDescent="0.25">
      <c r="A54" s="2">
        <v>6857</v>
      </c>
      <c r="B54" s="3" t="s">
        <v>8</v>
      </c>
      <c r="C54" s="3" t="s">
        <v>9</v>
      </c>
      <c r="D54" s="15">
        <v>4015</v>
      </c>
      <c r="E54" s="2">
        <v>67632</v>
      </c>
      <c r="F54" s="2" t="s">
        <v>50</v>
      </c>
      <c r="G54" s="2">
        <v>96646</v>
      </c>
      <c r="H54" s="2" t="s">
        <v>21</v>
      </c>
      <c r="I54" s="2" t="s">
        <v>29</v>
      </c>
      <c r="J54" s="2">
        <v>31032</v>
      </c>
      <c r="K54" s="2" t="s">
        <v>22</v>
      </c>
      <c r="L54" s="2" t="s">
        <v>28</v>
      </c>
      <c r="M54" s="2" t="s">
        <v>19</v>
      </c>
      <c r="N54" s="2">
        <f t="shared" si="0"/>
        <v>195310</v>
      </c>
      <c r="O54" s="71">
        <v>1240</v>
      </c>
    </row>
    <row r="55" spans="1:15" x14ac:dyDescent="0.25">
      <c r="A55" s="2">
        <v>6858</v>
      </c>
      <c r="B55" s="3" t="s">
        <v>8</v>
      </c>
      <c r="C55" s="5" t="s">
        <v>9</v>
      </c>
      <c r="D55" s="15">
        <v>4115</v>
      </c>
      <c r="E55" s="2">
        <v>85407</v>
      </c>
      <c r="F55" s="2" t="s">
        <v>28</v>
      </c>
      <c r="G55" s="2"/>
      <c r="H55" s="2"/>
      <c r="I55" s="2"/>
      <c r="J55" s="2"/>
      <c r="K55" s="2"/>
      <c r="L55" s="2"/>
      <c r="M55" s="2" t="s">
        <v>19</v>
      </c>
      <c r="N55" s="2">
        <f t="shared" si="0"/>
        <v>85407</v>
      </c>
      <c r="O55" s="71">
        <v>1240</v>
      </c>
    </row>
    <row r="56" spans="1:15" x14ac:dyDescent="0.25">
      <c r="A56" s="2">
        <v>6859</v>
      </c>
      <c r="B56" s="3" t="s">
        <v>8</v>
      </c>
      <c r="C56" s="3" t="s">
        <v>9</v>
      </c>
      <c r="D56" s="15">
        <v>4215</v>
      </c>
      <c r="E56" s="2">
        <v>68698</v>
      </c>
      <c r="F56" s="2" t="s">
        <v>28</v>
      </c>
      <c r="G56" s="2">
        <v>56518</v>
      </c>
      <c r="H56" s="2" t="s">
        <v>6</v>
      </c>
      <c r="I56" s="2" t="s">
        <v>28</v>
      </c>
      <c r="J56" s="2"/>
      <c r="K56" s="2"/>
      <c r="L56" s="2"/>
      <c r="M56" s="2" t="s">
        <v>19</v>
      </c>
      <c r="N56" s="2">
        <f t="shared" si="0"/>
        <v>125216</v>
      </c>
      <c r="O56" s="71">
        <v>1240</v>
      </c>
    </row>
    <row r="57" spans="1:15" x14ac:dyDescent="0.25">
      <c r="A57" s="2">
        <v>6860</v>
      </c>
      <c r="B57" s="3" t="s">
        <v>8</v>
      </c>
      <c r="C57" s="3" t="s">
        <v>9</v>
      </c>
      <c r="D57" s="15">
        <v>2515</v>
      </c>
      <c r="E57" s="2">
        <v>66768</v>
      </c>
      <c r="F57" s="2" t="s">
        <v>28</v>
      </c>
      <c r="G57" s="2">
        <v>51335</v>
      </c>
      <c r="H57" s="2" t="s">
        <v>21</v>
      </c>
      <c r="I57" s="2" t="s">
        <v>29</v>
      </c>
      <c r="J57" s="2">
        <v>62945</v>
      </c>
      <c r="K57" s="2" t="s">
        <v>22</v>
      </c>
      <c r="L57" s="2" t="s">
        <v>29</v>
      </c>
      <c r="M57" s="2" t="s">
        <v>19</v>
      </c>
      <c r="N57" s="2">
        <f t="shared" si="0"/>
        <v>181048</v>
      </c>
      <c r="O57" s="71">
        <v>1240</v>
      </c>
    </row>
    <row r="58" spans="1:15" x14ac:dyDescent="0.25">
      <c r="A58" s="2">
        <v>6861</v>
      </c>
      <c r="B58" s="3" t="s">
        <v>8</v>
      </c>
      <c r="C58" s="3" t="s">
        <v>9</v>
      </c>
      <c r="D58" s="15">
        <v>4115</v>
      </c>
      <c r="E58" s="2">
        <v>47715</v>
      </c>
      <c r="F58" s="2" t="s">
        <v>28</v>
      </c>
      <c r="G58" s="2">
        <v>56662</v>
      </c>
      <c r="H58" s="2" t="s">
        <v>6</v>
      </c>
      <c r="I58" s="2" t="s">
        <v>28</v>
      </c>
      <c r="J58" s="2">
        <v>30406</v>
      </c>
      <c r="K58" s="2" t="s">
        <v>6</v>
      </c>
      <c r="L58" s="2" t="s">
        <v>23</v>
      </c>
      <c r="M58" s="2" t="s">
        <v>19</v>
      </c>
      <c r="N58" s="2">
        <f t="shared" si="0"/>
        <v>134783</v>
      </c>
      <c r="O58" s="71">
        <v>1240</v>
      </c>
    </row>
    <row r="59" spans="1:15" x14ac:dyDescent="0.25">
      <c r="A59" s="2">
        <v>6862</v>
      </c>
      <c r="B59" s="3" t="s">
        <v>8</v>
      </c>
      <c r="C59" s="3" t="s">
        <v>9</v>
      </c>
      <c r="D59" s="15">
        <v>2615</v>
      </c>
      <c r="E59" s="2">
        <v>79400</v>
      </c>
      <c r="F59" s="2" t="s">
        <v>29</v>
      </c>
      <c r="G59" s="2">
        <v>70946</v>
      </c>
      <c r="H59" s="2" t="s">
        <v>21</v>
      </c>
      <c r="I59" s="2" t="s">
        <v>28</v>
      </c>
      <c r="J59" s="2"/>
      <c r="K59" s="2"/>
      <c r="L59" s="2"/>
      <c r="M59" s="2" t="s">
        <v>19</v>
      </c>
      <c r="N59" s="2">
        <f t="shared" si="0"/>
        <v>150346</v>
      </c>
      <c r="O59" s="71">
        <v>1240</v>
      </c>
    </row>
    <row r="60" spans="1:15" x14ac:dyDescent="0.25">
      <c r="A60" s="4">
        <v>6863</v>
      </c>
      <c r="B60" s="3" t="s">
        <v>8</v>
      </c>
      <c r="C60" s="3" t="s">
        <v>9</v>
      </c>
      <c r="D60" s="15">
        <v>4015</v>
      </c>
      <c r="E60" s="2">
        <v>95601</v>
      </c>
      <c r="F60" s="2" t="s">
        <v>29</v>
      </c>
      <c r="G60" s="2">
        <v>94612</v>
      </c>
      <c r="H60" s="2" t="s">
        <v>21</v>
      </c>
      <c r="I60" s="2" t="s">
        <v>29</v>
      </c>
      <c r="J60" s="2">
        <v>23700</v>
      </c>
      <c r="K60" s="2" t="s">
        <v>22</v>
      </c>
      <c r="L60" s="2" t="s">
        <v>51</v>
      </c>
      <c r="M60" s="2"/>
      <c r="N60" s="2">
        <f t="shared" si="0"/>
        <v>213913</v>
      </c>
      <c r="O60" s="71">
        <v>1240</v>
      </c>
    </row>
    <row r="61" spans="1:15" x14ac:dyDescent="0.25">
      <c r="A61" s="2">
        <v>6864</v>
      </c>
      <c r="B61" s="3" t="s">
        <v>8</v>
      </c>
      <c r="C61" s="3" t="s">
        <v>9</v>
      </c>
      <c r="D61" s="15">
        <v>4215</v>
      </c>
      <c r="E61" s="2">
        <v>83782</v>
      </c>
      <c r="F61" s="2" t="s">
        <v>23</v>
      </c>
      <c r="G61" s="2"/>
      <c r="H61" s="2"/>
      <c r="I61" s="2"/>
      <c r="J61" s="2"/>
      <c r="K61" s="2"/>
      <c r="L61" s="2"/>
      <c r="M61" s="2" t="s">
        <v>19</v>
      </c>
      <c r="N61" s="2">
        <f t="shared" si="0"/>
        <v>83782</v>
      </c>
      <c r="O61" s="71">
        <v>1240</v>
      </c>
    </row>
    <row r="62" spans="1:15" x14ac:dyDescent="0.25">
      <c r="A62" s="4">
        <v>6865</v>
      </c>
      <c r="B62" s="3" t="s">
        <v>8</v>
      </c>
      <c r="C62" s="3" t="s">
        <v>9</v>
      </c>
      <c r="D62" s="15">
        <v>2715</v>
      </c>
      <c r="E62" s="2">
        <v>142357</v>
      </c>
      <c r="F62" s="2" t="s">
        <v>29</v>
      </c>
      <c r="G62" s="2">
        <v>90713</v>
      </c>
      <c r="H62" s="2" t="s">
        <v>21</v>
      </c>
      <c r="I62" s="2" t="s">
        <v>29</v>
      </c>
      <c r="J62" s="2">
        <v>38673</v>
      </c>
      <c r="K62" s="2" t="s">
        <v>22</v>
      </c>
      <c r="L62" s="2" t="s">
        <v>51</v>
      </c>
      <c r="M62" s="2"/>
      <c r="N62" s="2">
        <f t="shared" si="0"/>
        <v>271743</v>
      </c>
      <c r="O62" s="71">
        <v>1240</v>
      </c>
    </row>
    <row r="63" spans="1:15" x14ac:dyDescent="0.25">
      <c r="A63" s="2">
        <v>6866</v>
      </c>
      <c r="B63" s="3" t="s">
        <v>8</v>
      </c>
      <c r="C63" s="3" t="s">
        <v>9</v>
      </c>
      <c r="D63" s="15">
        <v>2315</v>
      </c>
      <c r="E63" s="2">
        <v>88232</v>
      </c>
      <c r="F63" s="2" t="s">
        <v>29</v>
      </c>
      <c r="G63" s="2">
        <v>88635</v>
      </c>
      <c r="H63" s="2" t="s">
        <v>21</v>
      </c>
      <c r="I63" s="2" t="s">
        <v>29</v>
      </c>
      <c r="J63" s="2">
        <v>52000</v>
      </c>
      <c r="K63" s="2" t="s">
        <v>22</v>
      </c>
      <c r="L63" s="2" t="s">
        <v>29</v>
      </c>
      <c r="M63" s="2" t="s">
        <v>19</v>
      </c>
      <c r="N63" s="2">
        <f t="shared" si="0"/>
        <v>228867</v>
      </c>
      <c r="O63" s="71">
        <v>1240</v>
      </c>
    </row>
    <row r="64" spans="1:15" x14ac:dyDescent="0.25">
      <c r="A64" s="4">
        <v>6867</v>
      </c>
      <c r="B64" s="3" t="s">
        <v>8</v>
      </c>
      <c r="C64" s="3" t="s">
        <v>9</v>
      </c>
      <c r="D64" s="15">
        <v>2515</v>
      </c>
      <c r="E64" s="2">
        <v>114620</v>
      </c>
      <c r="F64" s="2" t="s">
        <v>29</v>
      </c>
      <c r="G64" s="2">
        <v>44908</v>
      </c>
      <c r="H64" s="2" t="s">
        <v>21</v>
      </c>
      <c r="I64" s="2" t="s">
        <v>51</v>
      </c>
      <c r="J64" s="2"/>
      <c r="K64" s="2"/>
      <c r="L64" s="2"/>
      <c r="M64" s="2"/>
      <c r="N64" s="2">
        <f t="shared" si="0"/>
        <v>159528</v>
      </c>
      <c r="O64" s="71">
        <v>1240</v>
      </c>
    </row>
    <row r="65" spans="1:15" x14ac:dyDescent="0.25">
      <c r="A65" s="2">
        <v>6868</v>
      </c>
      <c r="B65" s="3" t="s">
        <v>8</v>
      </c>
      <c r="C65" s="3" t="s">
        <v>9</v>
      </c>
      <c r="D65" s="15">
        <v>2715</v>
      </c>
      <c r="E65" s="2">
        <v>126422</v>
      </c>
      <c r="F65" s="2" t="s">
        <v>29</v>
      </c>
      <c r="G65" s="2">
        <v>96055</v>
      </c>
      <c r="H65" s="2" t="s">
        <v>21</v>
      </c>
      <c r="I65" s="2" t="s">
        <v>29</v>
      </c>
      <c r="J65" s="2">
        <v>30557</v>
      </c>
      <c r="K65" s="2" t="s">
        <v>22</v>
      </c>
      <c r="L65" s="2" t="s">
        <v>23</v>
      </c>
      <c r="M65" s="2" t="s">
        <v>19</v>
      </c>
      <c r="N65" s="2">
        <f t="shared" si="0"/>
        <v>253034</v>
      </c>
      <c r="O65" s="71">
        <v>1240</v>
      </c>
    </row>
    <row r="66" spans="1:15" x14ac:dyDescent="0.25">
      <c r="A66" s="2">
        <v>6869</v>
      </c>
      <c r="B66" s="3" t="s">
        <v>8</v>
      </c>
      <c r="C66" s="3" t="s">
        <v>9</v>
      </c>
      <c r="D66" s="15">
        <v>2715</v>
      </c>
      <c r="E66" s="2">
        <v>126422</v>
      </c>
      <c r="F66" s="2" t="s">
        <v>29</v>
      </c>
      <c r="G66" s="2">
        <v>82727</v>
      </c>
      <c r="H66" s="2" t="s">
        <v>21</v>
      </c>
      <c r="I66" s="2" t="s">
        <v>28</v>
      </c>
      <c r="J66" s="2"/>
      <c r="K66" s="2"/>
      <c r="L66" s="2"/>
      <c r="M66" s="2" t="s">
        <v>19</v>
      </c>
      <c r="N66" s="2">
        <f t="shared" si="0"/>
        <v>209149</v>
      </c>
      <c r="O66" s="71">
        <v>1240</v>
      </c>
    </row>
    <row r="67" spans="1:15" x14ac:dyDescent="0.25">
      <c r="A67" s="4">
        <v>6870</v>
      </c>
      <c r="B67" s="3" t="s">
        <v>8</v>
      </c>
      <c r="C67" s="3" t="s">
        <v>9</v>
      </c>
      <c r="D67" s="15">
        <v>2615</v>
      </c>
      <c r="E67" s="2">
        <v>88601</v>
      </c>
      <c r="F67" s="2" t="s">
        <v>29</v>
      </c>
      <c r="G67" s="2">
        <v>102407</v>
      </c>
      <c r="H67" s="2" t="s">
        <v>21</v>
      </c>
      <c r="I67" s="2" t="s">
        <v>51</v>
      </c>
      <c r="J67" s="2"/>
      <c r="K67" s="2"/>
      <c r="L67" s="2"/>
      <c r="M67" s="2"/>
      <c r="N67" s="2">
        <f t="shared" si="0"/>
        <v>191008</v>
      </c>
      <c r="O67" s="71">
        <v>1280</v>
      </c>
    </row>
    <row r="68" spans="1:15" x14ac:dyDescent="0.25">
      <c r="A68" s="2">
        <v>6871</v>
      </c>
      <c r="B68" s="3" t="s">
        <v>8</v>
      </c>
      <c r="C68" s="3" t="s">
        <v>9</v>
      </c>
      <c r="D68" s="15">
        <v>2615</v>
      </c>
      <c r="E68" s="2">
        <v>115250</v>
      </c>
      <c r="F68" s="2" t="s">
        <v>29</v>
      </c>
      <c r="G68" s="2">
        <v>107606</v>
      </c>
      <c r="H68" s="2" t="s">
        <v>21</v>
      </c>
      <c r="I68" s="2" t="s">
        <v>23</v>
      </c>
      <c r="J68" s="2"/>
      <c r="K68" s="2"/>
      <c r="L68" s="2"/>
      <c r="M68" s="2" t="s">
        <v>19</v>
      </c>
      <c r="N68" s="2">
        <f t="shared" si="0"/>
        <v>222856</v>
      </c>
      <c r="O68" s="71">
        <v>1280</v>
      </c>
    </row>
    <row r="69" spans="1:15" x14ac:dyDescent="0.25">
      <c r="A69" s="4">
        <v>6872</v>
      </c>
      <c r="B69" s="3" t="s">
        <v>8</v>
      </c>
      <c r="C69" s="3" t="s">
        <v>9</v>
      </c>
      <c r="D69" s="15">
        <v>2615</v>
      </c>
      <c r="E69" s="2">
        <v>29810</v>
      </c>
      <c r="F69" s="2" t="s">
        <v>29</v>
      </c>
      <c r="G69" s="2">
        <v>77044</v>
      </c>
      <c r="H69" s="2" t="s">
        <v>21</v>
      </c>
      <c r="I69" s="2" t="s">
        <v>51</v>
      </c>
      <c r="J69" s="2">
        <v>102407</v>
      </c>
      <c r="K69" s="2" t="s">
        <v>21</v>
      </c>
      <c r="L69" s="2"/>
      <c r="M69" s="2"/>
      <c r="N69" s="2">
        <f t="shared" si="0"/>
        <v>209261</v>
      </c>
      <c r="O69" s="71">
        <v>1280</v>
      </c>
    </row>
    <row r="70" spans="1:15" x14ac:dyDescent="0.25">
      <c r="A70" s="2">
        <v>6873</v>
      </c>
      <c r="B70" s="3" t="s">
        <v>8</v>
      </c>
      <c r="C70" s="3" t="s">
        <v>9</v>
      </c>
      <c r="D70" s="15">
        <v>3315</v>
      </c>
      <c r="E70" s="2">
        <v>97557</v>
      </c>
      <c r="F70" s="2" t="s">
        <v>29</v>
      </c>
      <c r="G70" s="2">
        <v>94612</v>
      </c>
      <c r="H70" s="2" t="s">
        <v>21</v>
      </c>
      <c r="I70" s="2" t="s">
        <v>29</v>
      </c>
      <c r="J70" s="2">
        <v>48417</v>
      </c>
      <c r="K70" s="2" t="s">
        <v>22</v>
      </c>
      <c r="L70" s="2" t="s">
        <v>23</v>
      </c>
      <c r="M70" s="2" t="s">
        <v>19</v>
      </c>
      <c r="N70" s="2">
        <f t="shared" ref="N70:N133" si="1">SUM(E70,G70,J70,)</f>
        <v>240586</v>
      </c>
      <c r="O70" s="71">
        <v>1280</v>
      </c>
    </row>
    <row r="71" spans="1:15" x14ac:dyDescent="0.25">
      <c r="A71" s="2">
        <v>6874</v>
      </c>
      <c r="B71" s="3" t="s">
        <v>8</v>
      </c>
      <c r="C71" s="3" t="s">
        <v>9</v>
      </c>
      <c r="D71" s="15">
        <v>2615</v>
      </c>
      <c r="E71" s="2">
        <f>20649+77431</f>
        <v>98080</v>
      </c>
      <c r="F71" s="2" t="s">
        <v>29</v>
      </c>
      <c r="G71" s="2">
        <v>98717</v>
      </c>
      <c r="H71" s="2" t="s">
        <v>21</v>
      </c>
      <c r="I71" s="2" t="s">
        <v>23</v>
      </c>
      <c r="J71" s="2"/>
      <c r="K71" s="2"/>
      <c r="L71" s="2"/>
      <c r="M71" s="2" t="s">
        <v>19</v>
      </c>
      <c r="N71" s="2">
        <f t="shared" si="1"/>
        <v>196797</v>
      </c>
      <c r="O71" s="71">
        <v>1280</v>
      </c>
    </row>
    <row r="72" spans="1:15" x14ac:dyDescent="0.25">
      <c r="A72" s="2">
        <v>6875</v>
      </c>
      <c r="B72" s="3" t="s">
        <v>8</v>
      </c>
      <c r="C72" s="3" t="s">
        <v>9</v>
      </c>
      <c r="D72" s="15">
        <v>2615</v>
      </c>
      <c r="E72" s="2">
        <v>86175</v>
      </c>
      <c r="F72" s="2" t="s">
        <v>29</v>
      </c>
      <c r="G72" s="2">
        <v>85984</v>
      </c>
      <c r="H72" s="2" t="s">
        <v>21</v>
      </c>
      <c r="I72" s="2" t="s">
        <v>29</v>
      </c>
      <c r="J72" s="2"/>
      <c r="K72" s="2"/>
      <c r="L72" s="2"/>
      <c r="M72" s="2" t="s">
        <v>19</v>
      </c>
      <c r="N72" s="2">
        <f t="shared" si="1"/>
        <v>172159</v>
      </c>
      <c r="O72" s="71">
        <v>1701</v>
      </c>
    </row>
    <row r="73" spans="1:15" x14ac:dyDescent="0.25">
      <c r="A73" s="2">
        <v>6888</v>
      </c>
      <c r="B73" s="3" t="s">
        <v>8</v>
      </c>
      <c r="C73" s="3" t="s">
        <v>9</v>
      </c>
      <c r="D73" s="15">
        <v>4415</v>
      </c>
      <c r="E73" s="2">
        <v>100537</v>
      </c>
      <c r="F73" s="2" t="s">
        <v>29</v>
      </c>
      <c r="G73" s="2">
        <v>107606</v>
      </c>
      <c r="H73" s="2" t="s">
        <v>21</v>
      </c>
      <c r="I73" s="2" t="s">
        <v>29</v>
      </c>
      <c r="J73" s="2"/>
      <c r="K73" s="2"/>
      <c r="L73" s="2"/>
      <c r="M73" s="2" t="s">
        <v>19</v>
      </c>
      <c r="N73" s="2">
        <f t="shared" si="1"/>
        <v>208143</v>
      </c>
      <c r="O73" s="71">
        <v>1701</v>
      </c>
    </row>
    <row r="74" spans="1:15" x14ac:dyDescent="0.25">
      <c r="A74" s="2">
        <v>6889</v>
      </c>
      <c r="B74" s="3" t="s">
        <v>8</v>
      </c>
      <c r="C74" s="3" t="s">
        <v>9</v>
      </c>
      <c r="D74" s="15">
        <v>4415</v>
      </c>
      <c r="E74" s="2">
        <v>123875</v>
      </c>
      <c r="F74" s="2" t="s">
        <v>28</v>
      </c>
      <c r="G74" s="2"/>
      <c r="H74" s="2"/>
      <c r="I74" s="2"/>
      <c r="J74" s="2"/>
      <c r="K74" s="2"/>
      <c r="L74" s="2"/>
      <c r="M74" s="2" t="s">
        <v>19</v>
      </c>
      <c r="N74" s="2">
        <f t="shared" si="1"/>
        <v>123875</v>
      </c>
      <c r="O74" s="71">
        <v>1701</v>
      </c>
    </row>
    <row r="75" spans="1:15" x14ac:dyDescent="0.25">
      <c r="A75" s="2">
        <v>6890</v>
      </c>
      <c r="B75" s="3" t="s">
        <v>8</v>
      </c>
      <c r="C75" s="3" t="s">
        <v>9</v>
      </c>
      <c r="D75" s="15">
        <v>4415</v>
      </c>
      <c r="E75" s="2">
        <v>132830</v>
      </c>
      <c r="F75" s="2" t="s">
        <v>29</v>
      </c>
      <c r="G75" s="2">
        <v>74868</v>
      </c>
      <c r="H75" s="2" t="s">
        <v>21</v>
      </c>
      <c r="I75" s="2" t="s">
        <v>29</v>
      </c>
      <c r="J75" s="2"/>
      <c r="K75" s="2"/>
      <c r="L75" s="2"/>
      <c r="M75" s="2" t="s">
        <v>19</v>
      </c>
      <c r="N75" s="2">
        <f t="shared" si="1"/>
        <v>207698</v>
      </c>
      <c r="O75" s="71">
        <v>1701</v>
      </c>
    </row>
    <row r="76" spans="1:15" x14ac:dyDescent="0.25">
      <c r="A76" s="2">
        <v>6891</v>
      </c>
      <c r="B76" s="3" t="s">
        <v>8</v>
      </c>
      <c r="C76" s="3" t="s">
        <v>9</v>
      </c>
      <c r="D76" s="15">
        <v>4415</v>
      </c>
      <c r="E76" s="2">
        <v>96583</v>
      </c>
      <c r="F76" s="2" t="s">
        <v>28</v>
      </c>
      <c r="G76" s="2"/>
      <c r="H76" s="2"/>
      <c r="I76" s="2"/>
      <c r="J76" s="2"/>
      <c r="K76" s="2"/>
      <c r="L76" s="2"/>
      <c r="M76" s="2" t="s">
        <v>19</v>
      </c>
      <c r="N76" s="2">
        <f t="shared" si="1"/>
        <v>96583</v>
      </c>
      <c r="O76" s="71">
        <v>1701</v>
      </c>
    </row>
    <row r="77" spans="1:15" x14ac:dyDescent="0.25">
      <c r="A77" s="2">
        <v>6910</v>
      </c>
      <c r="B77" s="3" t="s">
        <v>8</v>
      </c>
      <c r="C77" s="3" t="s">
        <v>9</v>
      </c>
      <c r="D77" s="15">
        <v>4515</v>
      </c>
      <c r="E77" s="2">
        <v>125751</v>
      </c>
      <c r="F77" s="2" t="s">
        <v>29</v>
      </c>
      <c r="G77" s="2">
        <v>72006</v>
      </c>
      <c r="H77" s="2" t="s">
        <v>21</v>
      </c>
      <c r="I77" s="2" t="s">
        <v>23</v>
      </c>
      <c r="J77" s="2"/>
      <c r="K77" s="2"/>
      <c r="L77" s="2"/>
      <c r="M77" s="2" t="s">
        <v>19</v>
      </c>
      <c r="N77" s="2">
        <f t="shared" si="1"/>
        <v>197757</v>
      </c>
      <c r="O77" s="71">
        <v>1701</v>
      </c>
    </row>
    <row r="78" spans="1:15" x14ac:dyDescent="0.25">
      <c r="A78" s="2">
        <v>6911</v>
      </c>
      <c r="B78" s="3" t="s">
        <v>8</v>
      </c>
      <c r="C78" s="3" t="s">
        <v>9</v>
      </c>
      <c r="D78" s="15">
        <v>4515</v>
      </c>
      <c r="E78" s="2">
        <v>102115</v>
      </c>
      <c r="F78" s="2" t="s">
        <v>28</v>
      </c>
      <c r="G78" s="2"/>
      <c r="H78" s="2"/>
      <c r="I78" s="2"/>
      <c r="J78" s="2"/>
      <c r="K78" s="2"/>
      <c r="L78" s="2"/>
      <c r="M78" s="2" t="s">
        <v>19</v>
      </c>
      <c r="N78" s="2">
        <f t="shared" si="1"/>
        <v>102115</v>
      </c>
      <c r="O78" s="71">
        <v>1701</v>
      </c>
    </row>
    <row r="79" spans="1:15" x14ac:dyDescent="0.25">
      <c r="A79" s="2">
        <v>6912</v>
      </c>
      <c r="B79" s="3" t="s">
        <v>8</v>
      </c>
      <c r="C79" s="3" t="s">
        <v>9</v>
      </c>
      <c r="D79" s="15">
        <v>4415</v>
      </c>
      <c r="E79" s="2">
        <v>101588</v>
      </c>
      <c r="F79" s="2" t="s">
        <v>29</v>
      </c>
      <c r="G79" s="2">
        <v>97639</v>
      </c>
      <c r="H79" s="2" t="s">
        <v>21</v>
      </c>
      <c r="I79" s="2" t="s">
        <v>29</v>
      </c>
      <c r="J79" s="2"/>
      <c r="K79" s="2"/>
      <c r="L79" s="2"/>
      <c r="M79" s="2" t="s">
        <v>19</v>
      </c>
      <c r="N79" s="2">
        <f t="shared" si="1"/>
        <v>199227</v>
      </c>
      <c r="O79" s="71">
        <v>1701</v>
      </c>
    </row>
    <row r="80" spans="1:15" x14ac:dyDescent="0.25">
      <c r="A80" s="2">
        <v>6913</v>
      </c>
      <c r="B80" s="3" t="s">
        <v>8</v>
      </c>
      <c r="C80" s="3" t="s">
        <v>9</v>
      </c>
      <c r="D80" s="15">
        <v>4515</v>
      </c>
      <c r="E80" s="2">
        <v>107149</v>
      </c>
      <c r="F80" s="2" t="s">
        <v>29</v>
      </c>
      <c r="G80" s="2">
        <v>77115</v>
      </c>
      <c r="H80" s="2" t="s">
        <v>21</v>
      </c>
      <c r="I80" s="2" t="s">
        <v>29</v>
      </c>
      <c r="J80" s="2"/>
      <c r="K80" s="2"/>
      <c r="L80" s="2"/>
      <c r="M80" s="2" t="s">
        <v>19</v>
      </c>
      <c r="N80" s="2">
        <f t="shared" si="1"/>
        <v>184264</v>
      </c>
      <c r="O80" s="71">
        <v>1701</v>
      </c>
    </row>
    <row r="81" spans="1:15" x14ac:dyDescent="0.25">
      <c r="A81" s="4">
        <v>6924</v>
      </c>
      <c r="B81" s="3" t="s">
        <v>8</v>
      </c>
      <c r="C81" s="3" t="s">
        <v>9</v>
      </c>
      <c r="D81" s="15">
        <v>1116</v>
      </c>
      <c r="E81" s="2">
        <v>138084</v>
      </c>
      <c r="F81" s="2" t="s">
        <v>29</v>
      </c>
      <c r="G81" s="2">
        <v>93088</v>
      </c>
      <c r="H81" s="2" t="s">
        <v>21</v>
      </c>
      <c r="I81" s="2" t="s">
        <v>51</v>
      </c>
      <c r="J81" s="2"/>
      <c r="K81" s="2"/>
      <c r="L81" s="2"/>
      <c r="M81" s="2"/>
      <c r="N81" s="2">
        <f t="shared" si="1"/>
        <v>231172</v>
      </c>
      <c r="O81" s="71">
        <v>1701</v>
      </c>
    </row>
    <row r="82" spans="1:15" x14ac:dyDescent="0.25">
      <c r="A82" s="4">
        <v>6925</v>
      </c>
      <c r="B82" s="3" t="s">
        <v>8</v>
      </c>
      <c r="C82" s="3" t="s">
        <v>9</v>
      </c>
      <c r="D82" s="15">
        <v>1116</v>
      </c>
      <c r="E82" s="2">
        <v>138084</v>
      </c>
      <c r="F82" s="2" t="s">
        <v>29</v>
      </c>
      <c r="G82" s="2">
        <v>93088</v>
      </c>
      <c r="H82" s="2" t="s">
        <v>21</v>
      </c>
      <c r="I82" s="2" t="s">
        <v>51</v>
      </c>
      <c r="J82" s="2"/>
      <c r="K82" s="2"/>
      <c r="L82" s="2"/>
      <c r="M82" s="2"/>
      <c r="N82" s="2">
        <f t="shared" si="1"/>
        <v>231172</v>
      </c>
      <c r="O82" s="71">
        <v>1701</v>
      </c>
    </row>
    <row r="83" spans="1:15" x14ac:dyDescent="0.25">
      <c r="A83" s="2">
        <v>6926</v>
      </c>
      <c r="B83" s="3" t="s">
        <v>8</v>
      </c>
      <c r="C83" s="3" t="s">
        <v>9</v>
      </c>
      <c r="D83" s="15">
        <v>1116</v>
      </c>
      <c r="E83" s="2">
        <v>108428</v>
      </c>
      <c r="F83" s="2" t="s">
        <v>29</v>
      </c>
      <c r="G83" s="2">
        <v>95316</v>
      </c>
      <c r="H83" s="2" t="s">
        <v>24</v>
      </c>
      <c r="I83" s="2" t="s">
        <v>29</v>
      </c>
      <c r="J83" s="2">
        <v>39631</v>
      </c>
      <c r="K83" s="2" t="s">
        <v>22</v>
      </c>
      <c r="L83" s="2" t="s">
        <v>29</v>
      </c>
      <c r="M83" s="2" t="s">
        <v>19</v>
      </c>
      <c r="N83" s="2">
        <f t="shared" si="1"/>
        <v>243375</v>
      </c>
      <c r="O83" s="71">
        <v>1701</v>
      </c>
    </row>
    <row r="84" spans="1:15" x14ac:dyDescent="0.25">
      <c r="A84" s="2">
        <v>6927</v>
      </c>
      <c r="B84" s="3" t="s">
        <v>8</v>
      </c>
      <c r="C84" s="3" t="s">
        <v>9</v>
      </c>
      <c r="D84" s="15">
        <v>616</v>
      </c>
      <c r="E84" s="2">
        <v>108428</v>
      </c>
      <c r="F84" s="2" t="s">
        <v>29</v>
      </c>
      <c r="G84" s="2">
        <v>95316</v>
      </c>
      <c r="H84" s="2" t="s">
        <v>24</v>
      </c>
      <c r="I84" s="2" t="s">
        <v>29</v>
      </c>
      <c r="J84" s="2">
        <v>31415</v>
      </c>
      <c r="K84" s="2" t="s">
        <v>22</v>
      </c>
      <c r="L84" s="2" t="s">
        <v>23</v>
      </c>
      <c r="M84" s="2" t="s">
        <v>19</v>
      </c>
      <c r="N84" s="2">
        <f t="shared" si="1"/>
        <v>235159</v>
      </c>
      <c r="O84" s="71">
        <v>1701</v>
      </c>
    </row>
    <row r="85" spans="1:15" x14ac:dyDescent="0.25">
      <c r="A85" s="2">
        <v>6928</v>
      </c>
      <c r="B85" s="3" t="s">
        <v>8</v>
      </c>
      <c r="C85" s="3" t="s">
        <v>9</v>
      </c>
      <c r="D85" s="15">
        <v>1116</v>
      </c>
      <c r="E85" s="2">
        <v>123045</v>
      </c>
      <c r="F85" s="2" t="s">
        <v>29</v>
      </c>
      <c r="G85" s="2">
        <v>95316</v>
      </c>
      <c r="H85" s="2" t="s">
        <v>24</v>
      </c>
      <c r="I85" s="2" t="s">
        <v>29</v>
      </c>
      <c r="J85" s="2">
        <v>35931</v>
      </c>
      <c r="K85" s="2" t="s">
        <v>22</v>
      </c>
      <c r="L85" s="2" t="s">
        <v>29</v>
      </c>
      <c r="M85" s="2" t="s">
        <v>19</v>
      </c>
      <c r="N85" s="2">
        <f t="shared" si="1"/>
        <v>254292</v>
      </c>
      <c r="O85" s="71">
        <v>1701</v>
      </c>
    </row>
    <row r="86" spans="1:15" x14ac:dyDescent="0.25">
      <c r="A86" s="4">
        <v>6929</v>
      </c>
      <c r="B86" s="3" t="s">
        <v>8</v>
      </c>
      <c r="C86" s="3" t="s">
        <v>9</v>
      </c>
      <c r="D86" s="15">
        <v>1116</v>
      </c>
      <c r="E86" s="2">
        <v>114514</v>
      </c>
      <c r="F86" s="2" t="s">
        <v>29</v>
      </c>
      <c r="G86" s="2">
        <v>67410</v>
      </c>
      <c r="H86" s="2" t="s">
        <v>21</v>
      </c>
      <c r="I86" s="2" t="s">
        <v>51</v>
      </c>
      <c r="J86" s="2"/>
      <c r="K86" s="2"/>
      <c r="L86" s="2"/>
      <c r="M86" s="2"/>
      <c r="N86" s="2">
        <f t="shared" si="1"/>
        <v>181924</v>
      </c>
      <c r="O86" s="71">
        <v>1701</v>
      </c>
    </row>
    <row r="87" spans="1:15" x14ac:dyDescent="0.25">
      <c r="A87" s="2">
        <v>6930</v>
      </c>
      <c r="B87" s="3" t="s">
        <v>8</v>
      </c>
      <c r="C87" s="3" t="s">
        <v>9</v>
      </c>
      <c r="D87" s="15">
        <v>1116</v>
      </c>
      <c r="E87" s="2">
        <v>107138</v>
      </c>
      <c r="F87" s="2" t="s">
        <v>28</v>
      </c>
      <c r="G87" s="2">
        <v>37028</v>
      </c>
      <c r="H87" s="2" t="s">
        <v>21</v>
      </c>
      <c r="I87" s="2" t="s">
        <v>23</v>
      </c>
      <c r="J87" s="2"/>
      <c r="K87" s="2"/>
      <c r="L87" s="2"/>
      <c r="M87" s="2" t="s">
        <v>19</v>
      </c>
      <c r="N87" s="2">
        <f t="shared" si="1"/>
        <v>144166</v>
      </c>
      <c r="O87" s="71">
        <v>1701</v>
      </c>
    </row>
    <row r="88" spans="1:15" x14ac:dyDescent="0.25">
      <c r="A88" s="4">
        <v>6931</v>
      </c>
      <c r="B88" s="3" t="s">
        <v>8</v>
      </c>
      <c r="C88" s="3" t="s">
        <v>9</v>
      </c>
      <c r="D88" s="15">
        <v>1116</v>
      </c>
      <c r="E88" s="2">
        <v>130214</v>
      </c>
      <c r="F88" s="2" t="s">
        <v>29</v>
      </c>
      <c r="G88" s="2">
        <v>95257</v>
      </c>
      <c r="H88" s="2" t="s">
        <v>21</v>
      </c>
      <c r="I88" s="2" t="s">
        <v>51</v>
      </c>
      <c r="J88" s="2"/>
      <c r="K88" s="2"/>
      <c r="L88" s="2"/>
      <c r="M88" s="2"/>
      <c r="N88" s="2">
        <f t="shared" si="1"/>
        <v>225471</v>
      </c>
      <c r="O88" s="71">
        <v>1701</v>
      </c>
    </row>
    <row r="89" spans="1:15" x14ac:dyDescent="0.25">
      <c r="A89" s="2">
        <v>6954</v>
      </c>
      <c r="B89" s="3" t="s">
        <v>8</v>
      </c>
      <c r="C89" s="3" t="s">
        <v>9</v>
      </c>
      <c r="D89" s="15">
        <v>716</v>
      </c>
      <c r="E89" s="2">
        <v>92815</v>
      </c>
      <c r="F89" s="2" t="s">
        <v>28</v>
      </c>
      <c r="G89" s="2">
        <v>96419</v>
      </c>
      <c r="H89" s="2" t="s">
        <v>21</v>
      </c>
      <c r="I89" s="2" t="s">
        <v>29</v>
      </c>
      <c r="J89" s="2"/>
      <c r="K89" s="2"/>
      <c r="L89" s="2"/>
      <c r="M89" s="2" t="s">
        <v>19</v>
      </c>
      <c r="N89" s="2">
        <f t="shared" si="1"/>
        <v>189234</v>
      </c>
      <c r="O89" s="71">
        <v>1701</v>
      </c>
    </row>
    <row r="90" spans="1:15" x14ac:dyDescent="0.25">
      <c r="A90" s="4">
        <v>6955</v>
      </c>
      <c r="B90" s="3" t="s">
        <v>8</v>
      </c>
      <c r="C90" s="3" t="s">
        <v>9</v>
      </c>
      <c r="D90" s="15">
        <v>1016</v>
      </c>
      <c r="E90" s="2">
        <v>132199</v>
      </c>
      <c r="F90" s="2" t="s">
        <v>29</v>
      </c>
      <c r="G90" s="2">
        <v>67410</v>
      </c>
      <c r="H90" s="2" t="s">
        <v>21</v>
      </c>
      <c r="I90" s="2" t="s">
        <v>51</v>
      </c>
      <c r="J90" s="2"/>
      <c r="K90" s="2"/>
      <c r="L90" s="2"/>
      <c r="M90" s="2"/>
      <c r="N90" s="2">
        <f t="shared" si="1"/>
        <v>199609</v>
      </c>
      <c r="O90" s="71">
        <v>1701</v>
      </c>
    </row>
    <row r="91" spans="1:15" x14ac:dyDescent="0.25">
      <c r="A91" s="4">
        <v>6956</v>
      </c>
      <c r="B91" s="3" t="s">
        <v>8</v>
      </c>
      <c r="C91" s="3" t="s">
        <v>9</v>
      </c>
      <c r="D91" s="15">
        <v>1316</v>
      </c>
      <c r="E91" s="2">
        <v>118512</v>
      </c>
      <c r="F91" s="2" t="s">
        <v>29</v>
      </c>
      <c r="G91" s="2">
        <v>95316</v>
      </c>
      <c r="H91" s="2" t="s">
        <v>24</v>
      </c>
      <c r="I91" s="2" t="s">
        <v>29</v>
      </c>
      <c r="J91" s="2">
        <v>14956</v>
      </c>
      <c r="K91" s="2" t="s">
        <v>22</v>
      </c>
      <c r="L91" s="2" t="s">
        <v>51</v>
      </c>
      <c r="M91" s="2"/>
      <c r="N91" s="2">
        <f t="shared" si="1"/>
        <v>228784</v>
      </c>
      <c r="O91" s="71">
        <v>1701</v>
      </c>
    </row>
    <row r="92" spans="1:15" x14ac:dyDescent="0.25">
      <c r="A92" s="4">
        <v>6957</v>
      </c>
      <c r="B92" s="3" t="s">
        <v>8</v>
      </c>
      <c r="C92" s="3" t="s">
        <v>9</v>
      </c>
      <c r="D92" s="15">
        <v>1316</v>
      </c>
      <c r="E92" s="2">
        <v>110482</v>
      </c>
      <c r="F92" s="2" t="s">
        <v>29</v>
      </c>
      <c r="G92" s="2">
        <v>67410</v>
      </c>
      <c r="H92" s="2" t="s">
        <v>21</v>
      </c>
      <c r="I92" s="2" t="s">
        <v>51</v>
      </c>
      <c r="J92" s="2"/>
      <c r="K92" s="2"/>
      <c r="L92" s="2"/>
      <c r="M92" s="2"/>
      <c r="N92" s="2">
        <f t="shared" si="1"/>
        <v>177892</v>
      </c>
      <c r="O92" s="71">
        <v>1701</v>
      </c>
    </row>
    <row r="93" spans="1:15" x14ac:dyDescent="0.25">
      <c r="A93" s="4">
        <v>6964</v>
      </c>
      <c r="B93" s="3" t="s">
        <v>8</v>
      </c>
      <c r="C93" s="3" t="s">
        <v>9</v>
      </c>
      <c r="D93" s="15">
        <v>3116</v>
      </c>
      <c r="E93" s="2">
        <v>127850</v>
      </c>
      <c r="F93" s="2" t="s">
        <v>29</v>
      </c>
      <c r="G93" s="2">
        <v>85885</v>
      </c>
      <c r="H93" s="2" t="s">
        <v>21</v>
      </c>
      <c r="I93" s="2" t="s">
        <v>51</v>
      </c>
      <c r="J93" s="2"/>
      <c r="K93" s="2"/>
      <c r="L93" s="2"/>
      <c r="M93" s="2"/>
      <c r="N93" s="2">
        <f t="shared" si="1"/>
        <v>213735</v>
      </c>
      <c r="O93" s="71">
        <v>1701</v>
      </c>
    </row>
    <row r="94" spans="1:15" x14ac:dyDescent="0.25">
      <c r="A94" s="2">
        <v>6965</v>
      </c>
      <c r="B94" s="3" t="s">
        <v>8</v>
      </c>
      <c r="C94" s="3" t="s">
        <v>9</v>
      </c>
      <c r="D94" s="15">
        <v>3016</v>
      </c>
      <c r="E94" s="2">
        <v>98428</v>
      </c>
      <c r="F94" s="2" t="s">
        <v>29</v>
      </c>
      <c r="G94" s="2">
        <v>74367</v>
      </c>
      <c r="H94" s="2" t="s">
        <v>24</v>
      </c>
      <c r="I94" s="2" t="s">
        <v>23</v>
      </c>
      <c r="J94" s="2"/>
      <c r="K94" s="2"/>
      <c r="L94" s="2"/>
      <c r="M94" s="2" t="s">
        <v>19</v>
      </c>
      <c r="N94" s="2">
        <f t="shared" si="1"/>
        <v>172795</v>
      </c>
      <c r="O94" s="71">
        <v>1701</v>
      </c>
    </row>
    <row r="95" spans="1:15" x14ac:dyDescent="0.25">
      <c r="A95" s="2">
        <v>6966</v>
      </c>
      <c r="B95" s="3" t="s">
        <v>8</v>
      </c>
      <c r="C95" s="3" t="s">
        <v>9</v>
      </c>
      <c r="D95" s="15">
        <v>3116</v>
      </c>
      <c r="E95" s="2">
        <v>58877</v>
      </c>
      <c r="F95" s="2" t="s">
        <v>23</v>
      </c>
      <c r="G95" s="2"/>
      <c r="H95" s="2"/>
      <c r="I95" s="2"/>
      <c r="J95" s="2"/>
      <c r="K95" s="2"/>
      <c r="L95" s="2"/>
      <c r="M95" s="2" t="s">
        <v>19</v>
      </c>
      <c r="N95" s="2">
        <f t="shared" si="1"/>
        <v>58877</v>
      </c>
      <c r="O95" s="71">
        <v>1701</v>
      </c>
    </row>
    <row r="96" spans="1:15" x14ac:dyDescent="0.25">
      <c r="A96" s="2">
        <v>6967</v>
      </c>
      <c r="B96" s="3" t="s">
        <v>8</v>
      </c>
      <c r="C96" s="3" t="s">
        <v>9</v>
      </c>
      <c r="D96" s="15">
        <v>3016</v>
      </c>
      <c r="E96" s="2">
        <v>159165</v>
      </c>
      <c r="F96" s="2" t="s">
        <v>29</v>
      </c>
      <c r="G96" s="2">
        <v>124564</v>
      </c>
      <c r="H96" s="2" t="s">
        <v>24</v>
      </c>
      <c r="I96" s="2" t="s">
        <v>29</v>
      </c>
      <c r="J96" s="2"/>
      <c r="K96" s="2"/>
      <c r="L96" s="2"/>
      <c r="M96" s="2" t="s">
        <v>19</v>
      </c>
      <c r="N96" s="2">
        <f t="shared" si="1"/>
        <v>283729</v>
      </c>
      <c r="O96" s="71">
        <v>1701</v>
      </c>
    </row>
    <row r="97" spans="1:15" x14ac:dyDescent="0.25">
      <c r="A97" s="2">
        <v>6968</v>
      </c>
      <c r="B97" s="3" t="s">
        <v>8</v>
      </c>
      <c r="C97" s="3" t="s">
        <v>9</v>
      </c>
      <c r="D97" s="15">
        <v>3116</v>
      </c>
      <c r="E97" s="2">
        <v>87540</v>
      </c>
      <c r="F97" s="2" t="s">
        <v>50</v>
      </c>
      <c r="G97" s="2">
        <v>89100</v>
      </c>
      <c r="H97" s="2" t="s">
        <v>21</v>
      </c>
      <c r="I97" s="2" t="s">
        <v>29</v>
      </c>
      <c r="J97" s="2"/>
      <c r="K97" s="2"/>
      <c r="L97" s="2"/>
      <c r="M97" s="2" t="s">
        <v>19</v>
      </c>
      <c r="N97" s="2">
        <f t="shared" si="1"/>
        <v>176640</v>
      </c>
      <c r="O97" s="71">
        <v>1701</v>
      </c>
    </row>
    <row r="98" spans="1:15" x14ac:dyDescent="0.25">
      <c r="A98" s="2">
        <v>6969</v>
      </c>
      <c r="B98" s="3" t="s">
        <v>8</v>
      </c>
      <c r="C98" s="3" t="s">
        <v>9</v>
      </c>
      <c r="D98" s="15">
        <v>3016</v>
      </c>
      <c r="E98" s="2">
        <v>112367</v>
      </c>
      <c r="F98" s="2" t="s">
        <v>29</v>
      </c>
      <c r="G98" s="2">
        <v>83619</v>
      </c>
      <c r="H98" s="2" t="s">
        <v>21</v>
      </c>
      <c r="I98" s="2" t="s">
        <v>29</v>
      </c>
      <c r="J98" s="2"/>
      <c r="K98" s="2"/>
      <c r="L98" s="2"/>
      <c r="M98" s="2" t="s">
        <v>19</v>
      </c>
      <c r="N98" s="2">
        <f t="shared" si="1"/>
        <v>195986</v>
      </c>
      <c r="O98" s="71">
        <v>1701</v>
      </c>
    </row>
    <row r="99" spans="1:15" x14ac:dyDescent="0.25">
      <c r="A99" s="2">
        <v>6970</v>
      </c>
      <c r="B99" s="3" t="s">
        <v>8</v>
      </c>
      <c r="C99" s="3" t="s">
        <v>9</v>
      </c>
      <c r="D99" s="15">
        <v>3016</v>
      </c>
      <c r="E99" s="2">
        <v>70155</v>
      </c>
      <c r="F99" s="2" t="s">
        <v>29</v>
      </c>
      <c r="G99" s="2">
        <v>95643</v>
      </c>
      <c r="H99" s="2" t="s">
        <v>21</v>
      </c>
      <c r="I99" s="2" t="s">
        <v>29</v>
      </c>
      <c r="J99" s="2"/>
      <c r="K99" s="2"/>
      <c r="L99" s="2"/>
      <c r="M99" s="2" t="s">
        <v>19</v>
      </c>
      <c r="N99" s="2">
        <f t="shared" si="1"/>
        <v>165798</v>
      </c>
      <c r="O99" s="71">
        <v>1701</v>
      </c>
    </row>
    <row r="100" spans="1:15" x14ac:dyDescent="0.25">
      <c r="A100" s="2">
        <v>6971</v>
      </c>
      <c r="B100" s="3" t="s">
        <v>8</v>
      </c>
      <c r="C100" s="3" t="s">
        <v>9</v>
      </c>
      <c r="D100" s="15">
        <v>3116</v>
      </c>
      <c r="E100" s="2">
        <v>70155</v>
      </c>
      <c r="F100" s="2" t="s">
        <v>29</v>
      </c>
      <c r="G100" s="2">
        <v>95643</v>
      </c>
      <c r="H100" s="2" t="s">
        <v>21</v>
      </c>
      <c r="I100" s="2" t="s">
        <v>29</v>
      </c>
      <c r="J100" s="2"/>
      <c r="K100" s="2"/>
      <c r="L100" s="2"/>
      <c r="M100" s="2" t="s">
        <v>19</v>
      </c>
      <c r="N100" s="2">
        <f t="shared" si="1"/>
        <v>165798</v>
      </c>
      <c r="O100" s="71">
        <v>1701</v>
      </c>
    </row>
    <row r="101" spans="1:15" x14ac:dyDescent="0.25">
      <c r="A101" s="2">
        <v>6976</v>
      </c>
      <c r="B101" s="3" t="s">
        <v>8</v>
      </c>
      <c r="C101" s="3" t="s">
        <v>9</v>
      </c>
      <c r="D101" s="15">
        <v>2916</v>
      </c>
      <c r="E101" s="2">
        <v>140581</v>
      </c>
      <c r="F101" s="2" t="s">
        <v>29</v>
      </c>
      <c r="G101" s="2">
        <v>34918</v>
      </c>
      <c r="H101" s="2" t="s">
        <v>24</v>
      </c>
      <c r="I101" s="2" t="s">
        <v>23</v>
      </c>
      <c r="J101" s="2"/>
      <c r="K101" s="2"/>
      <c r="L101" s="2"/>
      <c r="M101" s="2" t="s">
        <v>19</v>
      </c>
      <c r="N101" s="2">
        <f t="shared" si="1"/>
        <v>175499</v>
      </c>
      <c r="O101" s="71">
        <v>1701</v>
      </c>
    </row>
    <row r="102" spans="1:15" x14ac:dyDescent="0.25">
      <c r="A102" s="2">
        <v>6977</v>
      </c>
      <c r="B102" s="3" t="s">
        <v>8</v>
      </c>
      <c r="C102" s="3" t="s">
        <v>9</v>
      </c>
      <c r="D102" s="15">
        <v>2716</v>
      </c>
      <c r="E102" s="2">
        <v>121446</v>
      </c>
      <c r="F102" s="2" t="s">
        <v>29</v>
      </c>
      <c r="G102" s="2">
        <v>39278</v>
      </c>
      <c r="H102" s="2" t="s">
        <v>21</v>
      </c>
      <c r="I102" s="2" t="s">
        <v>23</v>
      </c>
      <c r="J102" s="2"/>
      <c r="K102" s="2"/>
      <c r="L102" s="2"/>
      <c r="M102" s="2" t="s">
        <v>19</v>
      </c>
      <c r="N102" s="2">
        <f t="shared" si="1"/>
        <v>160724</v>
      </c>
      <c r="O102" s="71">
        <v>1701</v>
      </c>
    </row>
    <row r="103" spans="1:15" x14ac:dyDescent="0.25">
      <c r="A103" s="2">
        <v>6978</v>
      </c>
      <c r="B103" s="3" t="s">
        <v>8</v>
      </c>
      <c r="C103" s="3" t="s">
        <v>9</v>
      </c>
      <c r="D103" s="15">
        <v>2916</v>
      </c>
      <c r="E103" s="2">
        <v>111062</v>
      </c>
      <c r="F103" s="2" t="s">
        <v>29</v>
      </c>
      <c r="G103" s="2">
        <v>66140</v>
      </c>
      <c r="H103" s="2" t="s">
        <v>24</v>
      </c>
      <c r="I103" s="2" t="s">
        <v>23</v>
      </c>
      <c r="J103" s="2"/>
      <c r="K103" s="2"/>
      <c r="L103" s="2"/>
      <c r="M103" s="2" t="s">
        <v>19</v>
      </c>
      <c r="N103" s="2">
        <f t="shared" si="1"/>
        <v>177202</v>
      </c>
      <c r="O103" s="71">
        <v>1701</v>
      </c>
    </row>
    <row r="104" spans="1:15" x14ac:dyDescent="0.25">
      <c r="A104" s="2">
        <v>6979</v>
      </c>
      <c r="B104" s="3" t="s">
        <v>8</v>
      </c>
      <c r="C104" s="3" t="s">
        <v>9</v>
      </c>
      <c r="D104" s="15">
        <v>2916</v>
      </c>
      <c r="E104" s="2">
        <v>87515</v>
      </c>
      <c r="F104" s="2" t="s">
        <v>29</v>
      </c>
      <c r="G104" s="2">
        <v>52062</v>
      </c>
      <c r="H104" s="2" t="s">
        <v>21</v>
      </c>
      <c r="I104" s="2" t="s">
        <v>23</v>
      </c>
      <c r="J104" s="2"/>
      <c r="K104" s="2"/>
      <c r="L104" s="2"/>
      <c r="M104" s="2" t="s">
        <v>19</v>
      </c>
      <c r="N104" s="2">
        <f t="shared" si="1"/>
        <v>139577</v>
      </c>
      <c r="O104" s="71">
        <v>1701</v>
      </c>
    </row>
    <row r="105" spans="1:15" x14ac:dyDescent="0.25">
      <c r="A105" s="2">
        <v>6980</v>
      </c>
      <c r="B105" s="3" t="s">
        <v>8</v>
      </c>
      <c r="C105" s="3" t="s">
        <v>9</v>
      </c>
      <c r="D105" s="15">
        <v>3116</v>
      </c>
      <c r="E105" s="2">
        <v>115723</v>
      </c>
      <c r="F105" s="2" t="s">
        <v>29</v>
      </c>
      <c r="G105" s="2">
        <v>89967</v>
      </c>
      <c r="H105" s="2" t="s">
        <v>24</v>
      </c>
      <c r="I105" s="2" t="s">
        <v>29</v>
      </c>
      <c r="J105" s="2">
        <v>16726</v>
      </c>
      <c r="K105" s="2" t="s">
        <v>22</v>
      </c>
      <c r="L105" s="2" t="s">
        <v>23</v>
      </c>
      <c r="M105" s="2" t="s">
        <v>19</v>
      </c>
      <c r="N105" s="2">
        <f t="shared" si="1"/>
        <v>222416</v>
      </c>
      <c r="O105" s="71">
        <v>1701</v>
      </c>
    </row>
    <row r="106" spans="1:15" x14ac:dyDescent="0.25">
      <c r="A106" s="2">
        <v>6981</v>
      </c>
      <c r="B106" s="3" t="s">
        <v>8</v>
      </c>
      <c r="C106" s="3" t="s">
        <v>9</v>
      </c>
      <c r="D106" s="15">
        <v>3116</v>
      </c>
      <c r="E106" s="2">
        <v>130131</v>
      </c>
      <c r="F106" s="2" t="s">
        <v>29</v>
      </c>
      <c r="G106" s="2">
        <v>55699</v>
      </c>
      <c r="H106" s="2" t="s">
        <v>21</v>
      </c>
      <c r="I106" s="2" t="s">
        <v>23</v>
      </c>
      <c r="J106" s="2"/>
      <c r="K106" s="2"/>
      <c r="L106" s="2"/>
      <c r="M106" s="2" t="s">
        <v>19</v>
      </c>
      <c r="N106" s="2">
        <f t="shared" si="1"/>
        <v>185830</v>
      </c>
      <c r="O106" s="71">
        <v>1701</v>
      </c>
    </row>
    <row r="107" spans="1:15" x14ac:dyDescent="0.25">
      <c r="A107" s="4">
        <v>6982</v>
      </c>
      <c r="B107" s="3" t="s">
        <v>8</v>
      </c>
      <c r="C107" s="3" t="s">
        <v>9</v>
      </c>
      <c r="D107" s="15">
        <v>3116</v>
      </c>
      <c r="E107" s="2">
        <v>122553</v>
      </c>
      <c r="F107" s="2" t="s">
        <v>29</v>
      </c>
      <c r="G107" s="2">
        <v>93038</v>
      </c>
      <c r="H107" s="2" t="s">
        <v>21</v>
      </c>
      <c r="I107" s="2" t="s">
        <v>51</v>
      </c>
      <c r="J107" s="2"/>
      <c r="K107" s="2"/>
      <c r="L107" s="2"/>
      <c r="M107" s="2"/>
      <c r="N107" s="2">
        <f t="shared" si="1"/>
        <v>215591</v>
      </c>
      <c r="O107" s="71">
        <v>1701</v>
      </c>
    </row>
    <row r="108" spans="1:15" x14ac:dyDescent="0.25">
      <c r="A108" s="2">
        <v>6983</v>
      </c>
      <c r="B108" s="3" t="s">
        <v>8</v>
      </c>
      <c r="C108" s="3" t="s">
        <v>9</v>
      </c>
      <c r="D108" s="15">
        <v>3116</v>
      </c>
      <c r="E108" s="2">
        <v>118259</v>
      </c>
      <c r="F108" s="2" t="s">
        <v>29</v>
      </c>
      <c r="G108" s="2"/>
      <c r="H108" s="2"/>
      <c r="I108" s="2" t="s">
        <v>23</v>
      </c>
      <c r="J108" s="2"/>
      <c r="K108" s="2"/>
      <c r="L108" s="2"/>
      <c r="M108" s="2" t="s">
        <v>26</v>
      </c>
      <c r="N108" s="2">
        <f t="shared" si="1"/>
        <v>118259</v>
      </c>
      <c r="O108" s="71">
        <v>1701</v>
      </c>
    </row>
    <row r="109" spans="1:15" x14ac:dyDescent="0.25">
      <c r="A109" s="2">
        <v>6984</v>
      </c>
      <c r="B109" s="3" t="s">
        <v>8</v>
      </c>
      <c r="C109" s="3" t="s">
        <v>9</v>
      </c>
      <c r="D109" s="15">
        <v>2916</v>
      </c>
      <c r="E109" s="2">
        <v>124113</v>
      </c>
      <c r="F109" s="2" t="s">
        <v>29</v>
      </c>
      <c r="G109" s="2"/>
      <c r="H109" s="2"/>
      <c r="I109" s="2" t="s">
        <v>23</v>
      </c>
      <c r="J109" s="2"/>
      <c r="K109" s="2"/>
      <c r="L109" s="2"/>
      <c r="M109" s="2" t="s">
        <v>19</v>
      </c>
      <c r="N109" s="2">
        <f t="shared" si="1"/>
        <v>124113</v>
      </c>
      <c r="O109" s="71">
        <v>1701</v>
      </c>
    </row>
    <row r="110" spans="1:15" x14ac:dyDescent="0.25">
      <c r="A110" s="2">
        <v>6985</v>
      </c>
      <c r="B110" s="3" t="s">
        <v>8</v>
      </c>
      <c r="C110" s="3" t="s">
        <v>9</v>
      </c>
      <c r="D110" s="15">
        <v>2916</v>
      </c>
      <c r="E110" s="2">
        <v>126296</v>
      </c>
      <c r="F110" s="2" t="s">
        <v>29</v>
      </c>
      <c r="G110" s="2">
        <v>27670</v>
      </c>
      <c r="H110" s="2" t="s">
        <v>21</v>
      </c>
      <c r="I110" s="2" t="s">
        <v>23</v>
      </c>
      <c r="J110" s="2"/>
      <c r="K110" s="2"/>
      <c r="L110" s="2"/>
      <c r="M110" s="2" t="s">
        <v>19</v>
      </c>
      <c r="N110" s="2">
        <f t="shared" si="1"/>
        <v>153966</v>
      </c>
      <c r="O110" s="71">
        <v>1701</v>
      </c>
    </row>
    <row r="111" spans="1:15" x14ac:dyDescent="0.25">
      <c r="A111" s="4">
        <v>6986</v>
      </c>
      <c r="B111" s="3" t="s">
        <v>8</v>
      </c>
      <c r="C111" s="3" t="s">
        <v>9</v>
      </c>
      <c r="D111" s="15">
        <v>2916</v>
      </c>
      <c r="E111" s="2">
        <v>140148</v>
      </c>
      <c r="F111" s="2" t="s">
        <v>29</v>
      </c>
      <c r="G111" s="2">
        <v>23700</v>
      </c>
      <c r="H111" s="2" t="s">
        <v>21</v>
      </c>
      <c r="I111" s="2" t="s">
        <v>51</v>
      </c>
      <c r="J111" s="2"/>
      <c r="K111" s="2"/>
      <c r="L111" s="2"/>
      <c r="M111" s="2"/>
      <c r="N111" s="2">
        <f t="shared" si="1"/>
        <v>163848</v>
      </c>
      <c r="O111" s="71">
        <v>1701</v>
      </c>
    </row>
    <row r="112" spans="1:15" x14ac:dyDescent="0.25">
      <c r="A112" s="2">
        <v>6987</v>
      </c>
      <c r="B112" s="3" t="s">
        <v>8</v>
      </c>
      <c r="C112" s="3" t="s">
        <v>9</v>
      </c>
      <c r="D112" s="15">
        <v>2916</v>
      </c>
      <c r="E112" s="2">
        <v>105617</v>
      </c>
      <c r="F112" s="2" t="s">
        <v>29</v>
      </c>
      <c r="G112" s="2">
        <v>71643</v>
      </c>
      <c r="H112" s="2" t="s">
        <v>21</v>
      </c>
      <c r="I112" s="2" t="s">
        <v>28</v>
      </c>
      <c r="J112" s="2"/>
      <c r="K112" s="2"/>
      <c r="L112" s="2"/>
      <c r="M112" s="2" t="s">
        <v>19</v>
      </c>
      <c r="N112" s="2">
        <f t="shared" si="1"/>
        <v>177260</v>
      </c>
      <c r="O112" s="71">
        <v>1701</v>
      </c>
    </row>
    <row r="113" spans="1:15" x14ac:dyDescent="0.25">
      <c r="A113" s="2">
        <v>6988</v>
      </c>
      <c r="B113" s="3" t="s">
        <v>8</v>
      </c>
      <c r="C113" s="3" t="s">
        <v>9</v>
      </c>
      <c r="D113" s="15">
        <v>3116</v>
      </c>
      <c r="E113" s="2">
        <v>86503</v>
      </c>
      <c r="F113" s="2" t="s">
        <v>23</v>
      </c>
      <c r="G113" s="2"/>
      <c r="H113" s="2"/>
      <c r="I113" s="2"/>
      <c r="J113" s="2"/>
      <c r="K113" s="2"/>
      <c r="L113" s="2"/>
      <c r="M113" s="2" t="s">
        <v>19</v>
      </c>
      <c r="N113" s="2">
        <f t="shared" si="1"/>
        <v>86503</v>
      </c>
      <c r="O113" s="71">
        <v>1701</v>
      </c>
    </row>
    <row r="114" spans="1:15" x14ac:dyDescent="0.25">
      <c r="A114" s="2">
        <v>6989</v>
      </c>
      <c r="B114" s="3" t="s">
        <v>8</v>
      </c>
      <c r="C114" s="3" t="s">
        <v>9</v>
      </c>
      <c r="D114" s="15">
        <v>2716</v>
      </c>
      <c r="E114" s="2">
        <v>110121</v>
      </c>
      <c r="F114" s="2" t="s">
        <v>29</v>
      </c>
      <c r="G114" s="2">
        <v>54562</v>
      </c>
      <c r="H114" s="2" t="s">
        <v>21</v>
      </c>
      <c r="I114" s="2" t="s">
        <v>23</v>
      </c>
      <c r="J114" s="2"/>
      <c r="K114" s="2"/>
      <c r="L114" s="2"/>
      <c r="M114" s="2" t="s">
        <v>19</v>
      </c>
      <c r="N114" s="2">
        <f t="shared" si="1"/>
        <v>164683</v>
      </c>
      <c r="O114" s="71">
        <v>1701</v>
      </c>
    </row>
    <row r="115" spans="1:15" x14ac:dyDescent="0.25">
      <c r="A115" s="2">
        <v>7004</v>
      </c>
      <c r="B115" s="3" t="s">
        <v>8</v>
      </c>
      <c r="C115" s="3" t="s">
        <v>10</v>
      </c>
      <c r="D115" s="15">
        <v>416</v>
      </c>
      <c r="E115" s="2">
        <v>82182</v>
      </c>
      <c r="F115" s="2" t="s">
        <v>29</v>
      </c>
      <c r="G115" s="2">
        <v>95643</v>
      </c>
      <c r="H115" s="2" t="s">
        <v>21</v>
      </c>
      <c r="I115" s="2" t="s">
        <v>29</v>
      </c>
      <c r="J115" s="2"/>
      <c r="K115" s="2"/>
      <c r="L115" s="2"/>
      <c r="M115" s="2" t="s">
        <v>19</v>
      </c>
      <c r="N115" s="2">
        <f t="shared" si="1"/>
        <v>177825</v>
      </c>
      <c r="O115" s="71">
        <v>1603</v>
      </c>
    </row>
    <row r="116" spans="1:15" x14ac:dyDescent="0.25">
      <c r="A116" s="2">
        <v>7005</v>
      </c>
      <c r="B116" s="3" t="s">
        <v>8</v>
      </c>
      <c r="C116" s="3" t="s">
        <v>10</v>
      </c>
      <c r="D116" s="15">
        <v>4516</v>
      </c>
      <c r="E116" s="2">
        <v>64731</v>
      </c>
      <c r="F116" s="2" t="s">
        <v>29</v>
      </c>
      <c r="G116" s="2">
        <v>61940</v>
      </c>
      <c r="H116" s="2" t="s">
        <v>21</v>
      </c>
      <c r="I116" s="2" t="s">
        <v>28</v>
      </c>
      <c r="J116" s="2">
        <v>48845</v>
      </c>
      <c r="K116" s="2" t="s">
        <v>21</v>
      </c>
      <c r="L116" s="2" t="s">
        <v>23</v>
      </c>
      <c r="M116" s="2" t="s">
        <v>19</v>
      </c>
      <c r="N116" s="2">
        <f t="shared" si="1"/>
        <v>175516</v>
      </c>
      <c r="O116" s="71">
        <v>1603</v>
      </c>
    </row>
    <row r="117" spans="1:15" x14ac:dyDescent="0.25">
      <c r="A117" s="4">
        <v>7006</v>
      </c>
      <c r="B117" s="3" t="s">
        <v>8</v>
      </c>
      <c r="C117" s="3" t="s">
        <v>10</v>
      </c>
      <c r="D117" s="15">
        <v>4516</v>
      </c>
      <c r="E117" s="2">
        <v>50050</v>
      </c>
      <c r="F117" s="2" t="s">
        <v>28</v>
      </c>
      <c r="G117" s="2">
        <v>105910</v>
      </c>
      <c r="H117" s="2" t="s">
        <v>21</v>
      </c>
      <c r="I117" s="2" t="s">
        <v>29</v>
      </c>
      <c r="J117" s="2">
        <v>14098</v>
      </c>
      <c r="K117" s="2" t="s">
        <v>22</v>
      </c>
      <c r="L117" s="2" t="s">
        <v>51</v>
      </c>
      <c r="M117" s="2"/>
      <c r="N117" s="2">
        <f t="shared" si="1"/>
        <v>170058</v>
      </c>
      <c r="O117" s="71">
        <v>1603</v>
      </c>
    </row>
    <row r="118" spans="1:15" x14ac:dyDescent="0.25">
      <c r="A118" s="2">
        <v>7007</v>
      </c>
      <c r="B118" s="3" t="s">
        <v>8</v>
      </c>
      <c r="C118" s="3" t="s">
        <v>10</v>
      </c>
      <c r="D118" s="15">
        <v>4516</v>
      </c>
      <c r="E118" s="2">
        <v>56569</v>
      </c>
      <c r="F118" s="2" t="s">
        <v>29</v>
      </c>
      <c r="G118" s="2">
        <v>79330</v>
      </c>
      <c r="H118" s="2" t="s">
        <v>21</v>
      </c>
      <c r="I118" s="2" t="s">
        <v>23</v>
      </c>
      <c r="J118" s="2"/>
      <c r="K118" s="2"/>
      <c r="L118" s="2"/>
      <c r="M118" s="2" t="s">
        <v>19</v>
      </c>
      <c r="N118" s="2">
        <f t="shared" si="1"/>
        <v>135899</v>
      </c>
      <c r="O118" s="71">
        <v>1603</v>
      </c>
    </row>
    <row r="119" spans="1:15" x14ac:dyDescent="0.25">
      <c r="A119" s="4">
        <v>7018</v>
      </c>
      <c r="B119" s="3" t="s">
        <v>8</v>
      </c>
      <c r="C119" s="3" t="s">
        <v>10</v>
      </c>
      <c r="D119" s="15">
        <v>4616</v>
      </c>
      <c r="E119" s="2">
        <v>72081</v>
      </c>
      <c r="F119" s="2" t="s">
        <v>29</v>
      </c>
      <c r="G119" s="2">
        <v>121556</v>
      </c>
      <c r="H119" s="2" t="s">
        <v>21</v>
      </c>
      <c r="I119" s="2" t="s">
        <v>29</v>
      </c>
      <c r="J119" s="2">
        <v>32467</v>
      </c>
      <c r="K119" s="2" t="s">
        <v>22</v>
      </c>
      <c r="L119" s="2" t="s">
        <v>51</v>
      </c>
      <c r="M119" s="2"/>
      <c r="N119" s="2">
        <f t="shared" si="1"/>
        <v>226104</v>
      </c>
      <c r="O119" s="71">
        <v>1603</v>
      </c>
    </row>
    <row r="120" spans="1:15" x14ac:dyDescent="0.25">
      <c r="A120" s="4">
        <v>7019</v>
      </c>
      <c r="B120" s="3" t="s">
        <v>8</v>
      </c>
      <c r="C120" s="3" t="s">
        <v>10</v>
      </c>
      <c r="D120" s="15">
        <v>4616</v>
      </c>
      <c r="E120" s="2">
        <v>53342</v>
      </c>
      <c r="F120" s="2" t="s">
        <v>50</v>
      </c>
      <c r="G120" s="2">
        <v>95257</v>
      </c>
      <c r="H120" s="2" t="s">
        <v>21</v>
      </c>
      <c r="I120" s="2" t="s">
        <v>51</v>
      </c>
      <c r="J120" s="2"/>
      <c r="K120" s="2"/>
      <c r="L120" s="2"/>
      <c r="M120" s="2"/>
      <c r="N120" s="2">
        <f t="shared" si="1"/>
        <v>148599</v>
      </c>
      <c r="O120" s="71">
        <v>1603</v>
      </c>
    </row>
    <row r="121" spans="1:15" x14ac:dyDescent="0.25">
      <c r="A121" s="2">
        <v>7020</v>
      </c>
      <c r="B121" s="3" t="s">
        <v>8</v>
      </c>
      <c r="C121" s="3" t="s">
        <v>10</v>
      </c>
      <c r="D121" s="15">
        <v>4616</v>
      </c>
      <c r="E121" s="2">
        <v>79152</v>
      </c>
      <c r="F121" s="2" t="s">
        <v>29</v>
      </c>
      <c r="G121" s="2">
        <v>93680</v>
      </c>
      <c r="H121" s="2" t="s">
        <v>24</v>
      </c>
      <c r="I121" s="2" t="s">
        <v>29</v>
      </c>
      <c r="J121" s="2"/>
      <c r="K121" s="2"/>
      <c r="L121" s="2"/>
      <c r="M121" s="2" t="s">
        <v>19</v>
      </c>
      <c r="N121" s="2">
        <f t="shared" si="1"/>
        <v>172832</v>
      </c>
      <c r="O121" s="71">
        <v>1603</v>
      </c>
    </row>
    <row r="122" spans="1:15" x14ac:dyDescent="0.25">
      <c r="A122" s="2">
        <v>7021</v>
      </c>
      <c r="B122" s="3" t="s">
        <v>8</v>
      </c>
      <c r="C122" s="3" t="s">
        <v>10</v>
      </c>
      <c r="D122" s="15">
        <v>4616</v>
      </c>
      <c r="E122" s="2">
        <v>93560</v>
      </c>
      <c r="F122" s="2" t="s">
        <v>29</v>
      </c>
      <c r="G122" s="2">
        <v>74029</v>
      </c>
      <c r="H122" s="2" t="s">
        <v>21</v>
      </c>
      <c r="I122" s="2" t="s">
        <v>23</v>
      </c>
      <c r="J122" s="2"/>
      <c r="K122" s="2"/>
      <c r="L122" s="2"/>
      <c r="M122" s="2" t="s">
        <v>19</v>
      </c>
      <c r="N122" s="2">
        <f t="shared" si="1"/>
        <v>167589</v>
      </c>
      <c r="O122" s="71">
        <v>1603</v>
      </c>
    </row>
    <row r="123" spans="1:15" x14ac:dyDescent="0.25">
      <c r="A123" s="2">
        <v>7044</v>
      </c>
      <c r="B123" s="3" t="s">
        <v>11</v>
      </c>
      <c r="C123" s="3" t="s">
        <v>12</v>
      </c>
      <c r="D123" s="15">
        <v>3115</v>
      </c>
      <c r="E123" s="2">
        <v>104174</v>
      </c>
      <c r="F123" s="2" t="s">
        <v>29</v>
      </c>
      <c r="G123" s="2">
        <v>44544</v>
      </c>
      <c r="H123" s="2" t="s">
        <v>24</v>
      </c>
      <c r="I123" s="2" t="s">
        <v>28</v>
      </c>
      <c r="J123" s="2"/>
      <c r="K123" s="2"/>
      <c r="L123" s="2"/>
      <c r="M123" s="2" t="s">
        <v>19</v>
      </c>
      <c r="N123" s="2">
        <f t="shared" si="1"/>
        <v>148718</v>
      </c>
      <c r="O123" s="71">
        <v>1586</v>
      </c>
    </row>
    <row r="124" spans="1:15" x14ac:dyDescent="0.25">
      <c r="A124" s="4">
        <v>7045</v>
      </c>
      <c r="B124" s="3" t="s">
        <v>11</v>
      </c>
      <c r="C124" s="3" t="s">
        <v>12</v>
      </c>
      <c r="D124" s="15">
        <v>3316</v>
      </c>
      <c r="E124" s="2">
        <v>104174</v>
      </c>
      <c r="F124" s="2" t="s">
        <v>29</v>
      </c>
      <c r="G124" s="2">
        <v>124466</v>
      </c>
      <c r="H124" s="2" t="s">
        <v>24</v>
      </c>
      <c r="I124" s="2" t="s">
        <v>29</v>
      </c>
      <c r="J124" s="2">
        <v>32467</v>
      </c>
      <c r="K124" s="2" t="s">
        <v>27</v>
      </c>
      <c r="L124" s="2" t="s">
        <v>51</v>
      </c>
      <c r="M124" s="2"/>
      <c r="N124" s="2">
        <f t="shared" si="1"/>
        <v>261107</v>
      </c>
      <c r="O124" s="71">
        <v>1586</v>
      </c>
    </row>
    <row r="125" spans="1:15" x14ac:dyDescent="0.25">
      <c r="A125" s="4">
        <v>7046</v>
      </c>
      <c r="B125" s="3" t="s">
        <v>11</v>
      </c>
      <c r="C125" s="3" t="s">
        <v>12</v>
      </c>
      <c r="D125" s="15">
        <v>2115</v>
      </c>
      <c r="E125" s="2">
        <v>117604</v>
      </c>
      <c r="F125" s="2" t="s">
        <v>29</v>
      </c>
      <c r="G125" s="2">
        <v>63404</v>
      </c>
      <c r="H125" s="2" t="s">
        <v>27</v>
      </c>
      <c r="I125" s="2" t="s">
        <v>51</v>
      </c>
      <c r="J125" s="2"/>
      <c r="K125" s="2"/>
      <c r="L125" s="2"/>
      <c r="M125" s="2"/>
      <c r="N125" s="2">
        <f t="shared" si="1"/>
        <v>181008</v>
      </c>
      <c r="O125" s="71">
        <v>1586</v>
      </c>
    </row>
    <row r="126" spans="1:15" x14ac:dyDescent="0.25">
      <c r="A126" s="2">
        <v>7047</v>
      </c>
      <c r="B126" s="3" t="s">
        <v>11</v>
      </c>
      <c r="C126" s="3" t="s">
        <v>12</v>
      </c>
      <c r="D126" s="15">
        <v>2115</v>
      </c>
      <c r="E126" s="2">
        <v>117604</v>
      </c>
      <c r="F126" s="2" t="s">
        <v>29</v>
      </c>
      <c r="G126" s="2">
        <v>110041</v>
      </c>
      <c r="H126" s="2" t="s">
        <v>27</v>
      </c>
      <c r="I126" s="2" t="s">
        <v>29</v>
      </c>
      <c r="J126" s="2"/>
      <c r="K126" s="2"/>
      <c r="L126" s="2"/>
      <c r="M126" s="2" t="s">
        <v>19</v>
      </c>
      <c r="N126" s="2">
        <f t="shared" si="1"/>
        <v>227645</v>
      </c>
      <c r="O126" s="71">
        <v>1586</v>
      </c>
    </row>
    <row r="127" spans="1:15" x14ac:dyDescent="0.25">
      <c r="A127" s="2">
        <v>7048</v>
      </c>
      <c r="B127" s="3" t="s">
        <v>11</v>
      </c>
      <c r="C127" s="3" t="s">
        <v>12</v>
      </c>
      <c r="D127" s="15">
        <v>3316</v>
      </c>
      <c r="E127" s="2">
        <v>87550</v>
      </c>
      <c r="F127" s="2" t="s">
        <v>29</v>
      </c>
      <c r="G127" s="2">
        <v>120618</v>
      </c>
      <c r="H127" s="2" t="s">
        <v>27</v>
      </c>
      <c r="I127" s="2" t="s">
        <v>29</v>
      </c>
      <c r="J127" s="2">
        <v>91113</v>
      </c>
      <c r="K127" s="2" t="s">
        <v>27</v>
      </c>
      <c r="L127" s="2" t="s">
        <v>23</v>
      </c>
      <c r="M127" s="11" t="s">
        <v>26</v>
      </c>
      <c r="N127" s="2">
        <f t="shared" si="1"/>
        <v>299281</v>
      </c>
      <c r="O127" s="71">
        <v>1586</v>
      </c>
    </row>
    <row r="128" spans="1:15" x14ac:dyDescent="0.25">
      <c r="A128" s="2">
        <v>7049</v>
      </c>
      <c r="B128" s="3" t="s">
        <v>11</v>
      </c>
      <c r="C128" s="3" t="s">
        <v>12</v>
      </c>
      <c r="D128" s="15">
        <v>3316</v>
      </c>
      <c r="E128" s="2">
        <v>87550</v>
      </c>
      <c r="F128" s="2" t="s">
        <v>29</v>
      </c>
      <c r="G128" s="2">
        <v>111782</v>
      </c>
      <c r="H128" s="2" t="s">
        <v>27</v>
      </c>
      <c r="I128" s="2" t="s">
        <v>28</v>
      </c>
      <c r="J128" s="2"/>
      <c r="K128" s="2"/>
      <c r="L128" s="2"/>
      <c r="M128" s="2" t="s">
        <v>19</v>
      </c>
      <c r="N128" s="2">
        <f t="shared" si="1"/>
        <v>199332</v>
      </c>
      <c r="O128" s="71">
        <v>1586</v>
      </c>
    </row>
    <row r="129" spans="1:15" x14ac:dyDescent="0.25">
      <c r="A129" s="4">
        <v>7050</v>
      </c>
      <c r="B129" s="3" t="s">
        <v>11</v>
      </c>
      <c r="C129" s="3" t="s">
        <v>12</v>
      </c>
      <c r="D129" s="15">
        <v>3316</v>
      </c>
      <c r="E129" s="2">
        <v>114425</v>
      </c>
      <c r="F129" s="2" t="s">
        <v>29</v>
      </c>
      <c r="G129" s="2">
        <v>63404</v>
      </c>
      <c r="H129" s="2" t="s">
        <v>24</v>
      </c>
      <c r="I129" s="2" t="s">
        <v>51</v>
      </c>
      <c r="J129" s="2"/>
      <c r="K129" s="2"/>
      <c r="L129" s="2"/>
      <c r="M129" s="2"/>
      <c r="N129" s="2">
        <f t="shared" si="1"/>
        <v>177829</v>
      </c>
      <c r="O129" s="71">
        <v>1586</v>
      </c>
    </row>
    <row r="130" spans="1:15" x14ac:dyDescent="0.25">
      <c r="A130" s="4">
        <v>7051</v>
      </c>
      <c r="B130" s="3" t="s">
        <v>11</v>
      </c>
      <c r="C130" s="3" t="s">
        <v>12</v>
      </c>
      <c r="D130" s="15">
        <v>3316</v>
      </c>
      <c r="E130" s="2">
        <v>114425</v>
      </c>
      <c r="F130" s="2" t="s">
        <v>29</v>
      </c>
      <c r="G130" s="2">
        <v>63404</v>
      </c>
      <c r="H130" s="2" t="s">
        <v>24</v>
      </c>
      <c r="I130" s="2" t="s">
        <v>51</v>
      </c>
      <c r="J130" s="2"/>
      <c r="K130" s="2"/>
      <c r="L130" s="2"/>
      <c r="M130" s="2"/>
      <c r="N130" s="2">
        <f t="shared" si="1"/>
        <v>177829</v>
      </c>
      <c r="O130" s="71">
        <v>1586</v>
      </c>
    </row>
    <row r="131" spans="1:15" x14ac:dyDescent="0.25">
      <c r="A131" s="2">
        <v>7052</v>
      </c>
      <c r="B131" s="3" t="s">
        <v>11</v>
      </c>
      <c r="C131" s="3" t="s">
        <v>12</v>
      </c>
      <c r="D131" s="15">
        <v>3316</v>
      </c>
      <c r="E131" s="2">
        <v>96258</v>
      </c>
      <c r="F131" s="2" t="s">
        <v>29</v>
      </c>
      <c r="G131" s="2">
        <v>134863</v>
      </c>
      <c r="H131" s="2" t="s">
        <v>27</v>
      </c>
      <c r="I131" s="2" t="s">
        <v>29</v>
      </c>
      <c r="J131" s="2"/>
      <c r="K131" s="2"/>
      <c r="L131" s="2"/>
      <c r="M131" s="2" t="s">
        <v>19</v>
      </c>
      <c r="N131" s="2">
        <f t="shared" si="1"/>
        <v>231121</v>
      </c>
      <c r="O131" s="71">
        <v>1586</v>
      </c>
    </row>
    <row r="132" spans="1:15" x14ac:dyDescent="0.25">
      <c r="A132" s="9">
        <v>7053</v>
      </c>
      <c r="B132" s="3" t="s">
        <v>11</v>
      </c>
      <c r="C132" s="3" t="s">
        <v>12</v>
      </c>
      <c r="D132" s="15">
        <v>3316</v>
      </c>
      <c r="E132" s="2">
        <v>110166</v>
      </c>
      <c r="F132" s="2" t="s">
        <v>29</v>
      </c>
      <c r="G132" s="2">
        <v>19818</v>
      </c>
      <c r="H132" s="2" t="s">
        <v>21</v>
      </c>
      <c r="I132" s="2" t="s">
        <v>51</v>
      </c>
      <c r="J132" s="2"/>
      <c r="K132" s="2"/>
      <c r="L132" s="2"/>
      <c r="M132" s="2"/>
      <c r="N132" s="2">
        <f t="shared" si="1"/>
        <v>129984</v>
      </c>
      <c r="O132" s="71">
        <v>1586</v>
      </c>
    </row>
    <row r="133" spans="1:15" x14ac:dyDescent="0.25">
      <c r="A133" s="2">
        <v>7074</v>
      </c>
      <c r="B133" s="8" t="s">
        <v>11</v>
      </c>
      <c r="C133" s="3" t="s">
        <v>12</v>
      </c>
      <c r="D133" s="15">
        <v>3316</v>
      </c>
      <c r="E133" s="2">
        <v>113217</v>
      </c>
      <c r="F133" s="2" t="s">
        <v>29</v>
      </c>
      <c r="G133" s="2">
        <v>113972</v>
      </c>
      <c r="H133" s="2" t="s">
        <v>27</v>
      </c>
      <c r="I133" s="2" t="s">
        <v>29</v>
      </c>
      <c r="J133" s="2">
        <v>54843</v>
      </c>
      <c r="K133" s="2" t="s">
        <v>27</v>
      </c>
      <c r="L133" s="2" t="s">
        <v>28</v>
      </c>
      <c r="M133" s="2" t="s">
        <v>19</v>
      </c>
      <c r="N133" s="2">
        <f t="shared" si="1"/>
        <v>282032</v>
      </c>
      <c r="O133" s="71">
        <v>1586</v>
      </c>
    </row>
    <row r="134" spans="1:15" x14ac:dyDescent="0.25">
      <c r="A134" s="10">
        <v>7075</v>
      </c>
      <c r="B134" s="3" t="s">
        <v>11</v>
      </c>
      <c r="C134" s="3" t="s">
        <v>12</v>
      </c>
      <c r="D134" s="15">
        <v>3316</v>
      </c>
      <c r="E134" s="2">
        <v>113217</v>
      </c>
      <c r="F134" s="2" t="s">
        <v>29</v>
      </c>
      <c r="G134" s="2">
        <v>131859</v>
      </c>
      <c r="H134" s="2" t="s">
        <v>27</v>
      </c>
      <c r="I134" s="2" t="s">
        <v>29</v>
      </c>
      <c r="J134" s="2">
        <v>14524</v>
      </c>
      <c r="K134" s="2" t="s">
        <v>27</v>
      </c>
      <c r="L134" s="2" t="s">
        <v>23</v>
      </c>
      <c r="M134" s="2" t="s">
        <v>19</v>
      </c>
      <c r="N134" s="2">
        <f t="shared" ref="N134:N197" si="2">SUM(E134,G134,J134,)</f>
        <v>259600</v>
      </c>
      <c r="O134" s="71">
        <v>1586</v>
      </c>
    </row>
    <row r="135" spans="1:15" x14ac:dyDescent="0.25">
      <c r="A135" s="4">
        <v>7076</v>
      </c>
      <c r="B135" s="3" t="s">
        <v>11</v>
      </c>
      <c r="C135" s="3" t="s">
        <v>12</v>
      </c>
      <c r="D135" s="15">
        <v>3316</v>
      </c>
      <c r="E135" s="2">
        <v>95954</v>
      </c>
      <c r="F135" s="2" t="s">
        <v>29</v>
      </c>
      <c r="G135" s="2"/>
      <c r="H135" s="2" t="s">
        <v>27</v>
      </c>
      <c r="I135" s="2" t="s">
        <v>51</v>
      </c>
      <c r="J135" s="2"/>
      <c r="K135" s="2"/>
      <c r="L135" s="2"/>
      <c r="M135" s="2"/>
      <c r="N135" s="2">
        <f t="shared" si="2"/>
        <v>95954</v>
      </c>
      <c r="O135" s="71">
        <v>1586</v>
      </c>
    </row>
    <row r="136" spans="1:15" x14ac:dyDescent="0.25">
      <c r="A136" s="4">
        <v>7077</v>
      </c>
      <c r="B136" s="3" t="s">
        <v>11</v>
      </c>
      <c r="C136" s="3" t="s">
        <v>12</v>
      </c>
      <c r="D136" s="15">
        <v>3316</v>
      </c>
      <c r="E136" s="2">
        <v>95954</v>
      </c>
      <c r="F136" s="2" t="s">
        <v>29</v>
      </c>
      <c r="G136" s="2"/>
      <c r="H136" s="2" t="s">
        <v>27</v>
      </c>
      <c r="I136" s="2" t="s">
        <v>51</v>
      </c>
      <c r="J136" s="2"/>
      <c r="K136" s="2"/>
      <c r="L136" s="2"/>
      <c r="M136" s="2"/>
      <c r="N136" s="2">
        <f t="shared" si="2"/>
        <v>95954</v>
      </c>
      <c r="O136" s="71">
        <v>1586</v>
      </c>
    </row>
    <row r="137" spans="1:15" x14ac:dyDescent="0.25">
      <c r="A137" s="4">
        <v>7086</v>
      </c>
      <c r="B137" s="3" t="s">
        <v>11</v>
      </c>
      <c r="C137" s="3" t="s">
        <v>12</v>
      </c>
      <c r="D137" s="15">
        <v>2017</v>
      </c>
      <c r="E137" s="2">
        <v>94012</v>
      </c>
      <c r="F137" s="2" t="s">
        <v>29</v>
      </c>
      <c r="G137" s="2">
        <v>101439</v>
      </c>
      <c r="H137" s="2" t="s">
        <v>27</v>
      </c>
      <c r="I137" s="2" t="s">
        <v>51</v>
      </c>
      <c r="J137" s="2"/>
      <c r="K137" s="2"/>
      <c r="L137" s="2"/>
      <c r="M137" s="2"/>
      <c r="N137" s="2">
        <f t="shared" si="2"/>
        <v>195451</v>
      </c>
      <c r="O137" s="71">
        <v>1586</v>
      </c>
    </row>
    <row r="138" spans="1:15" x14ac:dyDescent="0.25">
      <c r="A138" s="4">
        <v>7087</v>
      </c>
      <c r="B138" s="3" t="s">
        <v>11</v>
      </c>
      <c r="C138" s="3" t="s">
        <v>12</v>
      </c>
      <c r="D138" s="15">
        <v>2017</v>
      </c>
      <c r="E138" s="2">
        <v>94012</v>
      </c>
      <c r="F138" s="2" t="s">
        <v>29</v>
      </c>
      <c r="G138" s="2">
        <v>101439</v>
      </c>
      <c r="H138" s="2" t="s">
        <v>27</v>
      </c>
      <c r="I138" s="2" t="s">
        <v>51</v>
      </c>
      <c r="J138" s="2"/>
      <c r="K138" s="2"/>
      <c r="L138" s="2"/>
      <c r="M138" s="2"/>
      <c r="N138" s="2">
        <f t="shared" si="2"/>
        <v>195451</v>
      </c>
      <c r="O138" s="71">
        <v>1586</v>
      </c>
    </row>
    <row r="139" spans="1:15" x14ac:dyDescent="0.25">
      <c r="A139" s="6">
        <v>7088</v>
      </c>
      <c r="B139" s="3" t="s">
        <v>11</v>
      </c>
      <c r="C139" s="3" t="s">
        <v>12</v>
      </c>
      <c r="D139" s="15">
        <v>2017</v>
      </c>
      <c r="E139" s="2">
        <v>93201</v>
      </c>
      <c r="F139" s="2" t="s">
        <v>29</v>
      </c>
      <c r="G139" s="2"/>
      <c r="H139" s="2" t="s">
        <v>21</v>
      </c>
      <c r="I139" s="2"/>
      <c r="J139" s="2"/>
      <c r="K139" s="2"/>
      <c r="L139" s="2"/>
      <c r="M139" s="2">
        <v>19052</v>
      </c>
      <c r="N139" s="2">
        <f t="shared" si="2"/>
        <v>93201</v>
      </c>
      <c r="O139" s="71">
        <v>1586</v>
      </c>
    </row>
    <row r="140" spans="1:15" x14ac:dyDescent="0.25">
      <c r="A140" s="2">
        <v>7089</v>
      </c>
      <c r="B140" s="3" t="s">
        <v>11</v>
      </c>
      <c r="C140" s="3" t="s">
        <v>12</v>
      </c>
      <c r="D140" s="15">
        <v>2017</v>
      </c>
      <c r="E140" s="2">
        <v>119531</v>
      </c>
      <c r="F140" s="2" t="s">
        <v>29</v>
      </c>
      <c r="G140" s="2">
        <v>115456</v>
      </c>
      <c r="H140" s="2" t="s">
        <v>27</v>
      </c>
      <c r="I140" s="2" t="s">
        <v>29</v>
      </c>
      <c r="J140" s="2"/>
      <c r="K140" s="2"/>
      <c r="L140" s="2"/>
      <c r="M140" s="17" t="s">
        <v>30</v>
      </c>
      <c r="N140" s="2">
        <f t="shared" si="2"/>
        <v>234987</v>
      </c>
      <c r="O140" s="71">
        <v>1586</v>
      </c>
    </row>
    <row r="141" spans="1:15" x14ac:dyDescent="0.25">
      <c r="A141" s="4">
        <v>7090</v>
      </c>
      <c r="B141" s="3" t="s">
        <v>11</v>
      </c>
      <c r="C141" s="3" t="s">
        <v>12</v>
      </c>
      <c r="D141" s="15">
        <v>2017</v>
      </c>
      <c r="E141" s="2">
        <v>97650</v>
      </c>
      <c r="F141" s="2" t="s">
        <v>29</v>
      </c>
      <c r="G141" s="2">
        <f>89052+19275</f>
        <v>108327</v>
      </c>
      <c r="H141" s="2" t="s">
        <v>27</v>
      </c>
      <c r="I141" s="2" t="s">
        <v>51</v>
      </c>
      <c r="J141" s="2">
        <v>19275</v>
      </c>
      <c r="K141" s="2" t="s">
        <v>27</v>
      </c>
      <c r="L141" s="2"/>
      <c r="M141" s="2"/>
      <c r="N141" s="2">
        <f t="shared" si="2"/>
        <v>225252</v>
      </c>
      <c r="O141" s="71">
        <v>1586</v>
      </c>
    </row>
    <row r="142" spans="1:15" x14ac:dyDescent="0.25">
      <c r="A142" s="4">
        <v>7091</v>
      </c>
      <c r="B142" s="3" t="s">
        <v>11</v>
      </c>
      <c r="C142" s="3" t="s">
        <v>12</v>
      </c>
      <c r="D142" s="15">
        <v>1917</v>
      </c>
      <c r="E142" s="2">
        <v>86449</v>
      </c>
      <c r="F142" s="2" t="s">
        <v>52</v>
      </c>
      <c r="G142" s="2">
        <v>63404</v>
      </c>
      <c r="H142" s="2" t="s">
        <v>27</v>
      </c>
      <c r="I142" s="2" t="s">
        <v>51</v>
      </c>
      <c r="J142" s="2"/>
      <c r="K142" s="2"/>
      <c r="L142" s="2"/>
      <c r="M142" s="2"/>
      <c r="N142" s="2">
        <f t="shared" si="2"/>
        <v>149853</v>
      </c>
      <c r="O142" s="71">
        <v>1586</v>
      </c>
    </row>
    <row r="143" spans="1:15" x14ac:dyDescent="0.25">
      <c r="A143" s="4">
        <v>7092</v>
      </c>
      <c r="B143" s="3" t="s">
        <v>11</v>
      </c>
      <c r="C143" s="3" t="s">
        <v>12</v>
      </c>
      <c r="D143" s="15">
        <v>1917</v>
      </c>
      <c r="E143" s="2">
        <v>93902</v>
      </c>
      <c r="F143" s="2" t="s">
        <v>29</v>
      </c>
      <c r="G143" s="2">
        <v>101439</v>
      </c>
      <c r="H143" s="2" t="s">
        <v>27</v>
      </c>
      <c r="I143" s="2" t="s">
        <v>51</v>
      </c>
      <c r="J143" s="2"/>
      <c r="K143" s="2"/>
      <c r="L143" s="2"/>
      <c r="M143" s="2"/>
      <c r="N143" s="2">
        <f t="shared" si="2"/>
        <v>195341</v>
      </c>
      <c r="O143" s="71">
        <v>1586</v>
      </c>
    </row>
    <row r="144" spans="1:15" x14ac:dyDescent="0.25">
      <c r="A144" s="4">
        <v>7093</v>
      </c>
      <c r="B144" s="3" t="s">
        <v>11</v>
      </c>
      <c r="C144" s="3" t="s">
        <v>12</v>
      </c>
      <c r="D144" s="15">
        <v>1917</v>
      </c>
      <c r="E144" s="2">
        <v>93902</v>
      </c>
      <c r="F144" s="2" t="s">
        <v>29</v>
      </c>
      <c r="G144" s="2">
        <v>80569</v>
      </c>
      <c r="H144" s="2" t="s">
        <v>27</v>
      </c>
      <c r="I144" s="2" t="s">
        <v>51</v>
      </c>
      <c r="J144" s="2"/>
      <c r="K144" s="2"/>
      <c r="L144" s="2"/>
      <c r="M144" s="2"/>
      <c r="N144" s="2">
        <f t="shared" si="2"/>
        <v>174471</v>
      </c>
      <c r="O144" s="71">
        <v>1586</v>
      </c>
    </row>
    <row r="145" spans="1:15" x14ac:dyDescent="0.25">
      <c r="A145" s="4">
        <v>7094</v>
      </c>
      <c r="B145" s="3" t="s">
        <v>11</v>
      </c>
      <c r="C145" s="3" t="s">
        <v>12</v>
      </c>
      <c r="D145" s="15">
        <v>1917</v>
      </c>
      <c r="E145" s="2">
        <v>116909</v>
      </c>
      <c r="F145" s="2" t="s">
        <v>29</v>
      </c>
      <c r="G145" s="2">
        <v>80869</v>
      </c>
      <c r="H145" s="2" t="s">
        <v>27</v>
      </c>
      <c r="I145" s="2" t="s">
        <v>51</v>
      </c>
      <c r="J145" s="2"/>
      <c r="K145" s="2"/>
      <c r="L145" s="2"/>
      <c r="M145" s="2"/>
      <c r="N145" s="2">
        <f t="shared" si="2"/>
        <v>197778</v>
      </c>
      <c r="O145" s="71">
        <v>1586</v>
      </c>
    </row>
    <row r="146" spans="1:15" x14ac:dyDescent="0.25">
      <c r="A146" s="4">
        <v>7095</v>
      </c>
      <c r="B146" s="3" t="s">
        <v>11</v>
      </c>
      <c r="C146" s="3" t="s">
        <v>12</v>
      </c>
      <c r="D146" s="15">
        <v>1917</v>
      </c>
      <c r="E146" s="2">
        <v>117369</v>
      </c>
      <c r="F146" s="2" t="s">
        <v>29</v>
      </c>
      <c r="G146" s="2">
        <v>101439</v>
      </c>
      <c r="H146" s="2" t="s">
        <v>27</v>
      </c>
      <c r="I146" s="2" t="s">
        <v>51</v>
      </c>
      <c r="J146" s="2"/>
      <c r="K146" s="2"/>
      <c r="L146" s="2"/>
      <c r="M146" s="2"/>
      <c r="N146" s="2">
        <f t="shared" si="2"/>
        <v>218808</v>
      </c>
      <c r="O146" s="71">
        <v>1586</v>
      </c>
    </row>
    <row r="147" spans="1:15" x14ac:dyDescent="0.25">
      <c r="A147" s="4">
        <v>7100</v>
      </c>
      <c r="B147" s="3" t="s">
        <v>11</v>
      </c>
      <c r="C147" s="3" t="s">
        <v>12</v>
      </c>
      <c r="D147" s="15">
        <v>2717</v>
      </c>
      <c r="E147" s="2">
        <v>121031</v>
      </c>
      <c r="F147" s="2" t="s">
        <v>29</v>
      </c>
      <c r="G147" s="2"/>
      <c r="H147" s="2" t="s">
        <v>27</v>
      </c>
      <c r="I147" s="2" t="s">
        <v>51</v>
      </c>
      <c r="J147" s="2"/>
      <c r="K147" s="2"/>
      <c r="L147" s="2"/>
      <c r="M147" s="2"/>
      <c r="N147" s="2">
        <f t="shared" si="2"/>
        <v>121031</v>
      </c>
      <c r="O147" s="71">
        <v>1586</v>
      </c>
    </row>
    <row r="148" spans="1:15" x14ac:dyDescent="0.25">
      <c r="A148" s="4">
        <v>7101</v>
      </c>
      <c r="B148" s="3" t="s">
        <v>11</v>
      </c>
      <c r="C148" s="3" t="s">
        <v>12</v>
      </c>
      <c r="D148" s="15">
        <v>2717</v>
      </c>
      <c r="E148" s="2">
        <v>121031</v>
      </c>
      <c r="F148" s="2" t="s">
        <v>29</v>
      </c>
      <c r="G148" s="2"/>
      <c r="H148" s="2" t="s">
        <v>27</v>
      </c>
      <c r="I148" s="2" t="s">
        <v>51</v>
      </c>
      <c r="J148" s="2"/>
      <c r="K148" s="2"/>
      <c r="L148" s="2"/>
      <c r="M148" s="2"/>
      <c r="N148" s="2">
        <f t="shared" si="2"/>
        <v>121031</v>
      </c>
      <c r="O148" s="71">
        <v>1586</v>
      </c>
    </row>
    <row r="149" spans="1:15" x14ac:dyDescent="0.25">
      <c r="A149" s="2">
        <v>7102</v>
      </c>
      <c r="B149" s="3" t="s">
        <v>11</v>
      </c>
      <c r="C149" s="3" t="s">
        <v>12</v>
      </c>
      <c r="D149" s="15">
        <v>2717</v>
      </c>
      <c r="E149" s="2">
        <v>73572</v>
      </c>
      <c r="F149" s="2" t="s">
        <v>28</v>
      </c>
      <c r="G149" s="2"/>
      <c r="H149" s="2"/>
      <c r="I149" s="2"/>
      <c r="J149" s="2"/>
      <c r="K149" s="2"/>
      <c r="L149" s="2"/>
      <c r="M149" s="2" t="s">
        <v>19</v>
      </c>
      <c r="N149" s="2">
        <f t="shared" si="2"/>
        <v>73572</v>
      </c>
      <c r="O149" s="71">
        <v>1586</v>
      </c>
    </row>
    <row r="150" spans="1:15" x14ac:dyDescent="0.25">
      <c r="A150" s="2">
        <v>7103</v>
      </c>
      <c r="B150" s="3" t="s">
        <v>11</v>
      </c>
      <c r="C150" s="3" t="s">
        <v>12</v>
      </c>
      <c r="D150" s="15">
        <v>2717</v>
      </c>
      <c r="E150" s="2">
        <v>101192</v>
      </c>
      <c r="F150" s="2" t="s">
        <v>29</v>
      </c>
      <c r="G150" s="2">
        <v>80197</v>
      </c>
      <c r="H150" s="2" t="s">
        <v>27</v>
      </c>
      <c r="I150" s="2" t="s">
        <v>28</v>
      </c>
      <c r="J150" s="2"/>
      <c r="K150" s="2"/>
      <c r="L150" s="2"/>
      <c r="M150" s="2" t="s">
        <v>19</v>
      </c>
      <c r="N150" s="2">
        <f t="shared" si="2"/>
        <v>181389</v>
      </c>
      <c r="O150" s="71">
        <v>1586</v>
      </c>
    </row>
    <row r="151" spans="1:15" x14ac:dyDescent="0.25">
      <c r="A151" s="2">
        <v>7104</v>
      </c>
      <c r="B151" s="3" t="s">
        <v>11</v>
      </c>
      <c r="C151" s="3" t="s">
        <v>12</v>
      </c>
      <c r="D151" s="15">
        <v>2717</v>
      </c>
      <c r="E151" s="2">
        <v>99591</v>
      </c>
      <c r="F151" s="2" t="s">
        <v>29</v>
      </c>
      <c r="G151" s="2">
        <v>134189</v>
      </c>
      <c r="H151" s="2" t="s">
        <v>27</v>
      </c>
      <c r="I151" s="2" t="s">
        <v>29</v>
      </c>
      <c r="J151" s="2">
        <v>20020</v>
      </c>
      <c r="K151" s="2" t="s">
        <v>27</v>
      </c>
      <c r="L151" s="2" t="s">
        <v>35</v>
      </c>
      <c r="M151" s="13" t="s">
        <v>19</v>
      </c>
      <c r="N151" s="2">
        <f t="shared" si="2"/>
        <v>253800</v>
      </c>
      <c r="O151" s="71">
        <v>1586</v>
      </c>
    </row>
    <row r="152" spans="1:15" x14ac:dyDescent="0.25">
      <c r="A152" s="2">
        <v>7105</v>
      </c>
      <c r="B152" s="3" t="s">
        <v>11</v>
      </c>
      <c r="C152" s="3" t="s">
        <v>12</v>
      </c>
      <c r="D152" s="15">
        <v>2717</v>
      </c>
      <c r="E152" s="2">
        <v>79549</v>
      </c>
      <c r="F152" s="2" t="s">
        <v>28</v>
      </c>
      <c r="G152" s="2">
        <v>123815</v>
      </c>
      <c r="H152" s="2" t="s">
        <v>27</v>
      </c>
      <c r="I152" s="2" t="s">
        <v>29</v>
      </c>
      <c r="J152" s="2"/>
      <c r="K152" s="2"/>
      <c r="L152" s="2"/>
      <c r="M152" s="2" t="s">
        <v>19</v>
      </c>
      <c r="N152" s="2">
        <f t="shared" si="2"/>
        <v>203364</v>
      </c>
      <c r="O152" s="71">
        <v>1586</v>
      </c>
    </row>
    <row r="153" spans="1:15" x14ac:dyDescent="0.25">
      <c r="A153" s="2">
        <v>7114</v>
      </c>
      <c r="B153" s="3" t="s">
        <v>11</v>
      </c>
      <c r="C153" s="3" t="s">
        <v>12</v>
      </c>
      <c r="D153" s="15">
        <v>1917</v>
      </c>
      <c r="E153" s="2">
        <v>105688</v>
      </c>
      <c r="F153" s="2" t="s">
        <v>29</v>
      </c>
      <c r="G153" s="2">
        <v>84774</v>
      </c>
      <c r="H153" s="2" t="s">
        <v>27</v>
      </c>
      <c r="I153" s="2" t="s">
        <v>29</v>
      </c>
      <c r="J153" s="2">
        <v>30276</v>
      </c>
      <c r="K153" s="2" t="s">
        <v>27</v>
      </c>
      <c r="L153" s="2" t="s">
        <v>23</v>
      </c>
      <c r="M153" s="2" t="s">
        <v>19</v>
      </c>
      <c r="N153" s="2">
        <f t="shared" si="2"/>
        <v>220738</v>
      </c>
      <c r="O153" s="71">
        <v>1586</v>
      </c>
    </row>
    <row r="154" spans="1:15" x14ac:dyDescent="0.25">
      <c r="A154" s="4">
        <v>7115</v>
      </c>
      <c r="B154" s="3" t="s">
        <v>11</v>
      </c>
      <c r="C154" s="3" t="s">
        <v>12</v>
      </c>
      <c r="D154" s="15">
        <v>2017</v>
      </c>
      <c r="E154" s="2">
        <v>105688</v>
      </c>
      <c r="F154" s="2" t="s">
        <v>29</v>
      </c>
      <c r="G154" s="2"/>
      <c r="H154" s="2" t="s">
        <v>27</v>
      </c>
      <c r="I154" s="2" t="s">
        <v>51</v>
      </c>
      <c r="J154" s="2"/>
      <c r="K154" s="2"/>
      <c r="L154" s="2"/>
      <c r="M154" s="2"/>
      <c r="N154" s="2">
        <f t="shared" si="2"/>
        <v>105688</v>
      </c>
      <c r="O154" s="71">
        <v>1586</v>
      </c>
    </row>
    <row r="155" spans="1:15" x14ac:dyDescent="0.25">
      <c r="A155" s="2">
        <v>7134</v>
      </c>
      <c r="B155" s="3" t="s">
        <v>11</v>
      </c>
      <c r="C155" s="3" t="s">
        <v>12</v>
      </c>
      <c r="D155" s="15">
        <v>2717</v>
      </c>
      <c r="E155" s="2">
        <v>94274</v>
      </c>
      <c r="F155" s="2" t="s">
        <v>29</v>
      </c>
      <c r="G155" s="2">
        <v>101439</v>
      </c>
      <c r="H155" s="2" t="s">
        <v>27</v>
      </c>
      <c r="I155" s="2" t="s">
        <v>29</v>
      </c>
      <c r="J155" s="2">
        <v>66830</v>
      </c>
      <c r="K155" s="2" t="s">
        <v>27</v>
      </c>
      <c r="L155" s="2" t="s">
        <v>28</v>
      </c>
      <c r="M155" s="2" t="s">
        <v>45</v>
      </c>
      <c r="N155" s="2">
        <f t="shared" si="2"/>
        <v>262543</v>
      </c>
      <c r="O155" s="71">
        <v>1586</v>
      </c>
    </row>
    <row r="156" spans="1:15" x14ac:dyDescent="0.25">
      <c r="A156" s="2">
        <v>7135</v>
      </c>
      <c r="B156" s="3" t="s">
        <v>11</v>
      </c>
      <c r="C156" s="3" t="s">
        <v>12</v>
      </c>
      <c r="D156" s="15">
        <v>2717</v>
      </c>
      <c r="E156" s="2">
        <v>94274</v>
      </c>
      <c r="F156" s="2" t="s">
        <v>29</v>
      </c>
      <c r="G156" s="2">
        <v>75577</v>
      </c>
      <c r="H156" s="2" t="s">
        <v>27</v>
      </c>
      <c r="I156" s="2" t="s">
        <v>23</v>
      </c>
      <c r="J156" s="2"/>
      <c r="K156" s="2"/>
      <c r="L156" s="2"/>
      <c r="M156" s="2" t="s">
        <v>26</v>
      </c>
      <c r="N156" s="2">
        <f t="shared" si="2"/>
        <v>169851</v>
      </c>
      <c r="O156" s="71">
        <v>1586</v>
      </c>
    </row>
    <row r="157" spans="1:15" x14ac:dyDescent="0.25">
      <c r="A157" s="2">
        <v>7136</v>
      </c>
      <c r="B157" s="3" t="s">
        <v>11</v>
      </c>
      <c r="C157" s="3" t="s">
        <v>12</v>
      </c>
      <c r="D157" s="15">
        <v>2717</v>
      </c>
      <c r="E157" s="2">
        <v>109731</v>
      </c>
      <c r="F157" s="2" t="s">
        <v>29</v>
      </c>
      <c r="G157" s="2">
        <v>62977</v>
      </c>
      <c r="H157" s="2" t="s">
        <v>27</v>
      </c>
      <c r="I157" s="2" t="s">
        <v>23</v>
      </c>
      <c r="J157" s="2"/>
      <c r="K157" s="2"/>
      <c r="L157" s="2"/>
      <c r="M157" s="2" t="s">
        <v>26</v>
      </c>
      <c r="N157" s="2">
        <f t="shared" si="2"/>
        <v>172708</v>
      </c>
      <c r="O157" s="71">
        <v>1586</v>
      </c>
    </row>
    <row r="158" spans="1:15" x14ac:dyDescent="0.25">
      <c r="A158" s="6">
        <v>7137</v>
      </c>
      <c r="B158" s="3" t="s">
        <v>11</v>
      </c>
      <c r="C158" s="3" t="s">
        <v>12</v>
      </c>
      <c r="D158" s="15">
        <v>2717</v>
      </c>
      <c r="E158" s="2">
        <v>97650</v>
      </c>
      <c r="F158" s="2" t="s">
        <v>29</v>
      </c>
      <c r="G158" s="2">
        <v>142305</v>
      </c>
      <c r="H158" s="2" t="s">
        <v>27</v>
      </c>
      <c r="I158" s="2" t="s">
        <v>29</v>
      </c>
      <c r="J158" s="2">
        <v>47000</v>
      </c>
      <c r="K158" s="2" t="s">
        <v>27</v>
      </c>
      <c r="L158" s="2"/>
      <c r="M158" s="7">
        <v>19053</v>
      </c>
      <c r="N158" s="2">
        <f t="shared" si="2"/>
        <v>286955</v>
      </c>
      <c r="O158" s="71">
        <v>1586</v>
      </c>
    </row>
    <row r="159" spans="1:15" x14ac:dyDescent="0.25">
      <c r="A159" s="6">
        <v>7138</v>
      </c>
      <c r="B159" s="3" t="s">
        <v>11</v>
      </c>
      <c r="C159" s="3" t="s">
        <v>12</v>
      </c>
      <c r="D159" s="15">
        <v>3717</v>
      </c>
      <c r="E159" s="2">
        <v>103332</v>
      </c>
      <c r="F159" s="2" t="s">
        <v>29</v>
      </c>
      <c r="G159" s="2">
        <v>115598</v>
      </c>
      <c r="H159" s="2" t="s">
        <v>27</v>
      </c>
      <c r="I159" s="2" t="s">
        <v>29</v>
      </c>
      <c r="J159" s="2"/>
      <c r="K159" s="2" t="s">
        <v>21</v>
      </c>
      <c r="L159" s="2"/>
      <c r="M159" s="2">
        <v>19056</v>
      </c>
      <c r="N159" s="2">
        <f t="shared" si="2"/>
        <v>218930</v>
      </c>
      <c r="O159" s="71">
        <v>1586</v>
      </c>
    </row>
    <row r="160" spans="1:15" x14ac:dyDescent="0.25">
      <c r="A160" s="2">
        <v>7139</v>
      </c>
      <c r="B160" s="3" t="s">
        <v>11</v>
      </c>
      <c r="C160" s="3" t="s">
        <v>12</v>
      </c>
      <c r="D160" s="15">
        <v>3717</v>
      </c>
      <c r="E160" s="2">
        <v>54199</v>
      </c>
      <c r="F160" s="2" t="s">
        <v>28</v>
      </c>
      <c r="G160" s="2"/>
      <c r="H160" s="2"/>
      <c r="I160" s="2"/>
      <c r="J160" s="2"/>
      <c r="K160" s="2"/>
      <c r="L160" s="2"/>
      <c r="M160" s="2" t="s">
        <v>19</v>
      </c>
      <c r="N160" s="2">
        <f t="shared" si="2"/>
        <v>54199</v>
      </c>
      <c r="O160" s="71">
        <v>1586</v>
      </c>
    </row>
    <row r="161" spans="1:15" x14ac:dyDescent="0.25">
      <c r="A161" s="2">
        <v>7140</v>
      </c>
      <c r="B161" s="3" t="s">
        <v>11</v>
      </c>
      <c r="C161" s="3" t="s">
        <v>12</v>
      </c>
      <c r="D161" s="15">
        <v>3717</v>
      </c>
      <c r="E161" s="2">
        <v>110340</v>
      </c>
      <c r="F161" s="2" t="s">
        <v>29</v>
      </c>
      <c r="G161" s="2">
        <v>58912</v>
      </c>
      <c r="H161" s="2" t="s">
        <v>27</v>
      </c>
      <c r="I161" s="2" t="s">
        <v>28</v>
      </c>
      <c r="J161" s="2"/>
      <c r="K161" s="2"/>
      <c r="L161" s="2"/>
      <c r="M161" s="2" t="s">
        <v>19</v>
      </c>
      <c r="N161" s="2">
        <f t="shared" si="2"/>
        <v>169252</v>
      </c>
      <c r="O161" s="71">
        <v>1586</v>
      </c>
    </row>
    <row r="162" spans="1:15" x14ac:dyDescent="0.25">
      <c r="A162" s="2">
        <v>7141</v>
      </c>
      <c r="B162" s="3" t="s">
        <v>11</v>
      </c>
      <c r="C162" s="3" t="s">
        <v>12</v>
      </c>
      <c r="D162" s="15">
        <v>3717</v>
      </c>
      <c r="E162" s="2">
        <v>113775</v>
      </c>
      <c r="F162" s="2" t="s">
        <v>29</v>
      </c>
      <c r="G162" s="2">
        <v>75063</v>
      </c>
      <c r="H162" s="2" t="s">
        <v>27</v>
      </c>
      <c r="I162" s="2" t="s">
        <v>23</v>
      </c>
      <c r="J162" s="2"/>
      <c r="K162" s="2"/>
      <c r="L162" s="2"/>
      <c r="M162" s="2" t="s">
        <v>19</v>
      </c>
      <c r="N162" s="2">
        <f t="shared" si="2"/>
        <v>188838</v>
      </c>
      <c r="O162" s="71">
        <v>1586</v>
      </c>
    </row>
    <row r="163" spans="1:15" x14ac:dyDescent="0.25">
      <c r="A163" s="6">
        <v>7142</v>
      </c>
      <c r="B163" s="3" t="s">
        <v>11</v>
      </c>
      <c r="C163" s="3" t="s">
        <v>12</v>
      </c>
      <c r="D163" s="15">
        <v>3717</v>
      </c>
      <c r="E163" s="2">
        <v>85490</v>
      </c>
      <c r="F163" s="2" t="s">
        <v>29</v>
      </c>
      <c r="G163" s="2">
        <v>115902</v>
      </c>
      <c r="H163" s="2" t="s">
        <v>27</v>
      </c>
      <c r="I163" s="2" t="s">
        <v>29</v>
      </c>
      <c r="J163" s="2"/>
      <c r="K163" s="2" t="s">
        <v>27</v>
      </c>
      <c r="L163" s="2"/>
      <c r="M163" s="2">
        <v>8002</v>
      </c>
      <c r="N163" s="2">
        <f t="shared" si="2"/>
        <v>201392</v>
      </c>
      <c r="O163" s="71">
        <v>1586</v>
      </c>
    </row>
    <row r="164" spans="1:15" x14ac:dyDescent="0.25">
      <c r="A164" s="2">
        <v>7143</v>
      </c>
      <c r="B164" s="3" t="s">
        <v>11</v>
      </c>
      <c r="C164" s="3" t="s">
        <v>12</v>
      </c>
      <c r="D164" s="15">
        <v>3717</v>
      </c>
      <c r="E164" s="2">
        <v>99298</v>
      </c>
      <c r="F164" s="2" t="s">
        <v>29</v>
      </c>
      <c r="G164" s="2">
        <v>84774</v>
      </c>
      <c r="H164" s="2" t="s">
        <v>27</v>
      </c>
      <c r="I164" s="2" t="s">
        <v>29</v>
      </c>
      <c r="J164" s="2">
        <v>38567</v>
      </c>
      <c r="K164" s="2" t="s">
        <v>27</v>
      </c>
      <c r="L164" s="2" t="s">
        <v>23</v>
      </c>
      <c r="M164" s="2" t="s">
        <v>19</v>
      </c>
      <c r="N164" s="2">
        <f t="shared" si="2"/>
        <v>222639</v>
      </c>
      <c r="O164" s="71">
        <v>1586</v>
      </c>
    </row>
    <row r="165" spans="1:15" x14ac:dyDescent="0.25">
      <c r="A165" s="4">
        <v>7144</v>
      </c>
      <c r="B165" s="3" t="s">
        <v>11</v>
      </c>
      <c r="C165" s="3" t="s">
        <v>12</v>
      </c>
      <c r="D165" s="15">
        <v>3717</v>
      </c>
      <c r="E165" s="2">
        <v>109731</v>
      </c>
      <c r="F165" s="2" t="s">
        <v>29</v>
      </c>
      <c r="G165" s="2">
        <v>80569</v>
      </c>
      <c r="H165" s="2" t="s">
        <v>27</v>
      </c>
      <c r="I165" s="2" t="s">
        <v>51</v>
      </c>
      <c r="J165" s="2"/>
      <c r="K165" s="2"/>
      <c r="L165" s="2"/>
      <c r="M165" s="2"/>
      <c r="N165" s="2">
        <f t="shared" si="2"/>
        <v>190300</v>
      </c>
      <c r="O165" s="71">
        <v>1617</v>
      </c>
    </row>
    <row r="166" spans="1:15" x14ac:dyDescent="0.25">
      <c r="A166" s="4">
        <v>7187</v>
      </c>
      <c r="B166" s="3" t="s">
        <v>8</v>
      </c>
      <c r="C166" s="3" t="s">
        <v>9</v>
      </c>
      <c r="D166" s="15">
        <v>318</v>
      </c>
      <c r="E166" s="2">
        <v>56328</v>
      </c>
      <c r="F166" s="2" t="s">
        <v>51</v>
      </c>
      <c r="G166" s="2"/>
      <c r="H166" s="2"/>
      <c r="I166" s="2"/>
      <c r="J166" s="2"/>
      <c r="K166" s="2"/>
      <c r="L166" s="2"/>
      <c r="M166" s="2"/>
      <c r="N166" s="2">
        <f t="shared" si="2"/>
        <v>56328</v>
      </c>
      <c r="O166" s="71">
        <v>1617</v>
      </c>
    </row>
    <row r="167" spans="1:15" x14ac:dyDescent="0.25">
      <c r="A167" s="4">
        <v>7188</v>
      </c>
      <c r="B167" s="3" t="s">
        <v>8</v>
      </c>
      <c r="C167" s="3" t="s">
        <v>9</v>
      </c>
      <c r="D167" s="15">
        <v>318</v>
      </c>
      <c r="E167" s="2">
        <v>56328</v>
      </c>
      <c r="F167" s="2" t="s">
        <v>51</v>
      </c>
      <c r="G167" s="2"/>
      <c r="H167" s="2"/>
      <c r="I167" s="2"/>
      <c r="J167" s="2"/>
      <c r="K167" s="2"/>
      <c r="L167" s="2"/>
      <c r="M167" s="2"/>
      <c r="N167" s="2">
        <f t="shared" si="2"/>
        <v>56328</v>
      </c>
      <c r="O167" s="71">
        <v>1617</v>
      </c>
    </row>
    <row r="168" spans="1:15" x14ac:dyDescent="0.25">
      <c r="A168" s="4">
        <v>7189</v>
      </c>
      <c r="B168" s="3" t="s">
        <v>8</v>
      </c>
      <c r="C168" s="3" t="s">
        <v>9</v>
      </c>
      <c r="D168" s="15">
        <v>318</v>
      </c>
      <c r="E168" s="2">
        <v>38110</v>
      </c>
      <c r="F168" s="2" t="s">
        <v>51</v>
      </c>
      <c r="G168" s="2"/>
      <c r="H168" s="2"/>
      <c r="I168" s="2"/>
      <c r="J168" s="2"/>
      <c r="K168" s="2"/>
      <c r="L168" s="2"/>
      <c r="M168" s="2"/>
      <c r="N168" s="2">
        <f t="shared" si="2"/>
        <v>38110</v>
      </c>
      <c r="O168" s="71">
        <v>1617</v>
      </c>
    </row>
    <row r="169" spans="1:15" x14ac:dyDescent="0.25">
      <c r="A169" s="4">
        <v>7190</v>
      </c>
      <c r="B169" s="3" t="s">
        <v>8</v>
      </c>
      <c r="C169" s="3" t="s">
        <v>9</v>
      </c>
      <c r="D169" s="15">
        <v>318</v>
      </c>
      <c r="E169" s="2">
        <v>70135</v>
      </c>
      <c r="F169" s="2" t="s">
        <v>29</v>
      </c>
      <c r="G169" s="2">
        <v>32467</v>
      </c>
      <c r="H169" s="2" t="s">
        <v>21</v>
      </c>
      <c r="I169" s="2" t="s">
        <v>51</v>
      </c>
      <c r="J169" s="2"/>
      <c r="K169" s="2"/>
      <c r="L169" s="2"/>
      <c r="M169" s="2"/>
      <c r="N169" s="2">
        <f t="shared" si="2"/>
        <v>102602</v>
      </c>
      <c r="O169" s="71">
        <v>1617</v>
      </c>
    </row>
    <row r="170" spans="1:15" x14ac:dyDescent="0.25">
      <c r="A170" s="4">
        <v>7191</v>
      </c>
      <c r="B170" s="3" t="s">
        <v>8</v>
      </c>
      <c r="C170" s="3" t="s">
        <v>9</v>
      </c>
      <c r="D170" s="15">
        <v>818</v>
      </c>
      <c r="E170" s="2">
        <v>83962</v>
      </c>
      <c r="F170" s="2" t="s">
        <v>29</v>
      </c>
      <c r="G170" s="2">
        <v>19818</v>
      </c>
      <c r="H170" s="2" t="s">
        <v>21</v>
      </c>
      <c r="I170" s="2" t="s">
        <v>51</v>
      </c>
      <c r="J170" s="2"/>
      <c r="K170" s="2"/>
      <c r="L170" s="2"/>
      <c r="M170" s="2"/>
      <c r="N170" s="2">
        <f t="shared" si="2"/>
        <v>103780</v>
      </c>
      <c r="O170" s="71">
        <v>1617</v>
      </c>
    </row>
    <row r="171" spans="1:15" x14ac:dyDescent="0.25">
      <c r="A171" s="4">
        <v>7192</v>
      </c>
      <c r="B171" s="3" t="s">
        <v>8</v>
      </c>
      <c r="C171" s="3" t="s">
        <v>9</v>
      </c>
      <c r="D171" s="15">
        <v>818</v>
      </c>
      <c r="E171" s="2">
        <v>83962</v>
      </c>
      <c r="F171" s="2" t="s">
        <v>29</v>
      </c>
      <c r="G171" s="2">
        <v>19818</v>
      </c>
      <c r="H171" s="2" t="s">
        <v>21</v>
      </c>
      <c r="I171" s="2" t="s">
        <v>51</v>
      </c>
      <c r="J171" s="2"/>
      <c r="K171" s="2"/>
      <c r="L171" s="2"/>
      <c r="M171" s="2"/>
      <c r="N171" s="2">
        <f t="shared" si="2"/>
        <v>103780</v>
      </c>
      <c r="O171" s="71">
        <v>1617</v>
      </c>
    </row>
    <row r="172" spans="1:15" x14ac:dyDescent="0.25">
      <c r="A172" s="2">
        <v>7193</v>
      </c>
      <c r="B172" s="3" t="s">
        <v>8</v>
      </c>
      <c r="C172" s="3" t="s">
        <v>9</v>
      </c>
      <c r="D172" s="15">
        <v>818</v>
      </c>
      <c r="E172" s="2">
        <v>70439</v>
      </c>
      <c r="F172" s="2" t="s">
        <v>29</v>
      </c>
      <c r="G172" s="2">
        <v>83619</v>
      </c>
      <c r="H172" s="2" t="s">
        <v>21</v>
      </c>
      <c r="I172" s="2" t="s">
        <v>29</v>
      </c>
      <c r="J172" s="2">
        <v>28182</v>
      </c>
      <c r="K172" s="2" t="s">
        <v>22</v>
      </c>
      <c r="L172" s="2" t="s">
        <v>23</v>
      </c>
      <c r="M172" s="7" t="s">
        <v>26</v>
      </c>
      <c r="N172" s="2">
        <f t="shared" si="2"/>
        <v>182240</v>
      </c>
      <c r="O172" s="71">
        <v>1617</v>
      </c>
    </row>
    <row r="173" spans="1:15" x14ac:dyDescent="0.25">
      <c r="A173" s="2">
        <v>7194</v>
      </c>
      <c r="B173" s="3" t="s">
        <v>8</v>
      </c>
      <c r="C173" s="3" t="s">
        <v>10</v>
      </c>
      <c r="D173" s="15">
        <v>3217</v>
      </c>
      <c r="E173" s="2">
        <v>56631</v>
      </c>
      <c r="F173" s="2" t="s">
        <v>28</v>
      </c>
      <c r="G173" s="2"/>
      <c r="H173" s="2"/>
      <c r="I173" s="2"/>
      <c r="J173" s="2"/>
      <c r="K173" s="2"/>
      <c r="L173" s="2"/>
      <c r="M173" s="2" t="s">
        <v>19</v>
      </c>
      <c r="N173" s="2">
        <f t="shared" si="2"/>
        <v>56631</v>
      </c>
      <c r="O173" s="71">
        <v>1706</v>
      </c>
    </row>
    <row r="174" spans="1:15" x14ac:dyDescent="0.25">
      <c r="A174" s="4">
        <v>7195</v>
      </c>
      <c r="B174" s="3" t="s">
        <v>8</v>
      </c>
      <c r="C174" s="3" t="s">
        <v>10</v>
      </c>
      <c r="D174" s="15">
        <v>3217</v>
      </c>
      <c r="E174" s="2">
        <v>71065</v>
      </c>
      <c r="F174" s="2" t="s">
        <v>29</v>
      </c>
      <c r="G174" s="2">
        <v>14346</v>
      </c>
      <c r="H174" s="2" t="s">
        <v>21</v>
      </c>
      <c r="I174" s="2" t="s">
        <v>51</v>
      </c>
      <c r="J174" s="2"/>
      <c r="K174" s="2"/>
      <c r="L174" s="2"/>
      <c r="M174" s="2"/>
      <c r="N174" s="2">
        <f t="shared" si="2"/>
        <v>85411</v>
      </c>
      <c r="O174" s="71">
        <v>1706</v>
      </c>
    </row>
    <row r="175" spans="1:15" x14ac:dyDescent="0.25">
      <c r="A175" s="2">
        <v>7196</v>
      </c>
      <c r="B175" s="3" t="s">
        <v>8</v>
      </c>
      <c r="C175" s="3" t="s">
        <v>10</v>
      </c>
      <c r="D175" s="15">
        <v>3217</v>
      </c>
      <c r="E175" s="2">
        <v>71603</v>
      </c>
      <c r="F175" s="2" t="s">
        <v>29</v>
      </c>
      <c r="G175" s="2">
        <v>68311</v>
      </c>
      <c r="H175" s="2" t="s">
        <v>21</v>
      </c>
      <c r="I175" s="2" t="s">
        <v>29</v>
      </c>
      <c r="J175" s="2">
        <v>36583</v>
      </c>
      <c r="K175" s="2" t="s">
        <v>22</v>
      </c>
      <c r="L175" s="2"/>
      <c r="M175" s="7" t="s">
        <v>19</v>
      </c>
      <c r="N175" s="2">
        <f t="shared" si="2"/>
        <v>176497</v>
      </c>
      <c r="O175" s="71">
        <v>1706</v>
      </c>
    </row>
    <row r="176" spans="1:15" x14ac:dyDescent="0.25">
      <c r="A176" s="4">
        <v>7197</v>
      </c>
      <c r="B176" s="3" t="s">
        <v>8</v>
      </c>
      <c r="C176" s="3" t="s">
        <v>10</v>
      </c>
      <c r="D176" s="15">
        <v>3217</v>
      </c>
      <c r="E176" s="2">
        <v>23700</v>
      </c>
      <c r="F176" s="2" t="s">
        <v>29</v>
      </c>
      <c r="G176" s="2"/>
      <c r="H176" s="2" t="s">
        <v>21</v>
      </c>
      <c r="I176" s="2" t="s">
        <v>51</v>
      </c>
      <c r="J176" s="2"/>
      <c r="K176" s="2"/>
      <c r="L176" s="2"/>
      <c r="M176" s="2"/>
      <c r="N176" s="2">
        <f t="shared" si="2"/>
        <v>23700</v>
      </c>
      <c r="O176" s="71">
        <v>1706</v>
      </c>
    </row>
    <row r="177" spans="1:15" x14ac:dyDescent="0.25">
      <c r="A177" s="4">
        <v>7198</v>
      </c>
      <c r="B177" s="3" t="s">
        <v>8</v>
      </c>
      <c r="C177" s="3" t="s">
        <v>10</v>
      </c>
      <c r="D177" s="15">
        <v>3217</v>
      </c>
      <c r="E177" s="2">
        <v>78985</v>
      </c>
      <c r="F177" s="2" t="s">
        <v>29</v>
      </c>
      <c r="G177" s="2">
        <v>14346</v>
      </c>
      <c r="H177" s="2" t="s">
        <v>21</v>
      </c>
      <c r="I177" s="2" t="s">
        <v>51</v>
      </c>
      <c r="J177" s="2"/>
      <c r="K177" s="2"/>
      <c r="L177" s="2"/>
      <c r="M177" s="2"/>
      <c r="N177" s="2">
        <f t="shared" si="2"/>
        <v>93331</v>
      </c>
      <c r="O177" s="71">
        <v>1706</v>
      </c>
    </row>
    <row r="178" spans="1:15" x14ac:dyDescent="0.25">
      <c r="A178" s="2">
        <v>7215</v>
      </c>
      <c r="B178" s="3" t="s">
        <v>8</v>
      </c>
      <c r="C178" s="3" t="s">
        <v>10</v>
      </c>
      <c r="D178" s="15">
        <v>818</v>
      </c>
      <c r="E178" s="2">
        <v>84679</v>
      </c>
      <c r="F178" s="2" t="s">
        <v>29</v>
      </c>
      <c r="G178" s="2">
        <v>67610</v>
      </c>
      <c r="H178" s="2" t="s">
        <v>21</v>
      </c>
      <c r="I178" s="2" t="s">
        <v>29</v>
      </c>
      <c r="J178" s="2">
        <v>31219</v>
      </c>
      <c r="K178" s="2" t="s">
        <v>22</v>
      </c>
      <c r="L178" s="2" t="s">
        <v>35</v>
      </c>
      <c r="M178" s="7" t="s">
        <v>19</v>
      </c>
      <c r="N178" s="2">
        <f t="shared" si="2"/>
        <v>183508</v>
      </c>
      <c r="O178" s="71">
        <v>1706</v>
      </c>
    </row>
    <row r="179" spans="1:15" x14ac:dyDescent="0.25">
      <c r="A179" s="2">
        <v>7216</v>
      </c>
      <c r="B179" s="3" t="s">
        <v>8</v>
      </c>
      <c r="C179" s="3" t="s">
        <v>10</v>
      </c>
      <c r="D179" s="15">
        <v>218</v>
      </c>
      <c r="E179" s="2">
        <v>97931</v>
      </c>
      <c r="F179" s="2" t="s">
        <v>29</v>
      </c>
      <c r="G179" s="2">
        <v>76719</v>
      </c>
      <c r="H179" s="2" t="s">
        <v>21</v>
      </c>
      <c r="I179" s="2" t="s">
        <v>29</v>
      </c>
      <c r="J179" s="2"/>
      <c r="K179" s="2"/>
      <c r="L179" s="2"/>
      <c r="M179" s="2" t="s">
        <v>19</v>
      </c>
      <c r="N179" s="2">
        <f t="shared" si="2"/>
        <v>174650</v>
      </c>
      <c r="O179" s="71">
        <v>1706</v>
      </c>
    </row>
    <row r="180" spans="1:15" x14ac:dyDescent="0.25">
      <c r="A180" s="2">
        <v>7217</v>
      </c>
      <c r="B180" s="3" t="s">
        <v>8</v>
      </c>
      <c r="C180" s="3" t="s">
        <v>10</v>
      </c>
      <c r="D180" s="15">
        <v>218</v>
      </c>
      <c r="E180" s="2">
        <v>120736</v>
      </c>
      <c r="F180" s="2" t="s">
        <v>29</v>
      </c>
      <c r="G180" s="2">
        <v>52062</v>
      </c>
      <c r="H180" s="2" t="s">
        <v>21</v>
      </c>
      <c r="I180" s="2" t="s">
        <v>29</v>
      </c>
      <c r="J180" s="2">
        <v>28182</v>
      </c>
      <c r="K180" s="2" t="s">
        <v>22</v>
      </c>
      <c r="L180" s="2" t="s">
        <v>23</v>
      </c>
      <c r="M180" s="7" t="s">
        <v>19</v>
      </c>
      <c r="N180" s="2">
        <f t="shared" si="2"/>
        <v>200980</v>
      </c>
      <c r="O180" s="71">
        <v>1706</v>
      </c>
    </row>
    <row r="181" spans="1:15" x14ac:dyDescent="0.25">
      <c r="A181" s="2">
        <v>7218</v>
      </c>
      <c r="B181" s="3" t="s">
        <v>8</v>
      </c>
      <c r="C181" s="3" t="s">
        <v>10</v>
      </c>
      <c r="D181" s="15">
        <v>218</v>
      </c>
      <c r="E181" s="2">
        <v>120736</v>
      </c>
      <c r="F181" s="2" t="s">
        <v>29</v>
      </c>
      <c r="G181" s="2">
        <v>26254</v>
      </c>
      <c r="H181" s="2" t="s">
        <v>21</v>
      </c>
      <c r="I181" s="2" t="s">
        <v>23</v>
      </c>
      <c r="J181" s="2"/>
      <c r="K181" s="2"/>
      <c r="L181" s="2"/>
      <c r="M181" s="2" t="s">
        <v>19</v>
      </c>
      <c r="N181" s="2">
        <f t="shared" si="2"/>
        <v>146990</v>
      </c>
      <c r="O181" s="71">
        <v>1706</v>
      </c>
    </row>
    <row r="182" spans="1:15" x14ac:dyDescent="0.25">
      <c r="A182" s="2">
        <v>7219</v>
      </c>
      <c r="B182" s="3" t="s">
        <v>8</v>
      </c>
      <c r="C182" s="3" t="s">
        <v>10</v>
      </c>
      <c r="D182" s="15">
        <v>218</v>
      </c>
      <c r="E182" s="2">
        <v>61303</v>
      </c>
      <c r="F182" s="2" t="s">
        <v>28</v>
      </c>
      <c r="G182" s="2"/>
      <c r="H182" s="2"/>
      <c r="I182" s="2"/>
      <c r="J182" s="2"/>
      <c r="K182" s="2"/>
      <c r="L182" s="2"/>
      <c r="M182" s="2" t="s">
        <v>19</v>
      </c>
      <c r="N182" s="2">
        <f t="shared" si="2"/>
        <v>61303</v>
      </c>
      <c r="O182" s="71">
        <v>1706</v>
      </c>
    </row>
    <row r="183" spans="1:15" x14ac:dyDescent="0.25">
      <c r="A183" s="4">
        <v>7220</v>
      </c>
      <c r="B183" s="3" t="s">
        <v>8</v>
      </c>
      <c r="C183" s="3" t="s">
        <v>10</v>
      </c>
      <c r="D183" s="15">
        <v>218</v>
      </c>
      <c r="E183" s="2">
        <v>119620</v>
      </c>
      <c r="F183" s="2" t="s">
        <v>29</v>
      </c>
      <c r="G183" s="2">
        <v>2620</v>
      </c>
      <c r="H183" s="2" t="s">
        <v>21</v>
      </c>
      <c r="I183" s="2"/>
      <c r="J183" s="2"/>
      <c r="K183" s="2"/>
      <c r="L183" s="2"/>
      <c r="M183" s="2"/>
      <c r="N183" s="2">
        <f t="shared" si="2"/>
        <v>122240</v>
      </c>
      <c r="O183" s="71">
        <v>1706</v>
      </c>
    </row>
    <row r="184" spans="1:15" x14ac:dyDescent="0.25">
      <c r="A184" s="2">
        <v>7221</v>
      </c>
      <c r="B184" s="3" t="s">
        <v>8</v>
      </c>
      <c r="C184" s="3" t="s">
        <v>10</v>
      </c>
      <c r="D184" s="15">
        <v>1018</v>
      </c>
      <c r="E184" s="2">
        <v>122504</v>
      </c>
      <c r="F184" s="2" t="s">
        <v>29</v>
      </c>
      <c r="G184" s="2">
        <v>57536</v>
      </c>
      <c r="H184" s="2" t="s">
        <v>21</v>
      </c>
      <c r="I184" s="2" t="s">
        <v>29</v>
      </c>
      <c r="J184" s="2">
        <v>34940</v>
      </c>
      <c r="K184" s="2" t="s">
        <v>22</v>
      </c>
      <c r="L184" s="2" t="s">
        <v>29</v>
      </c>
      <c r="M184" s="67" t="s">
        <v>30</v>
      </c>
      <c r="N184" s="2">
        <f t="shared" si="2"/>
        <v>214980</v>
      </c>
      <c r="O184" s="71">
        <v>1706</v>
      </c>
    </row>
    <row r="185" spans="1:15" x14ac:dyDescent="0.25">
      <c r="A185" s="4">
        <v>7222</v>
      </c>
      <c r="B185" s="3" t="s">
        <v>8</v>
      </c>
      <c r="C185" s="3" t="s">
        <v>10</v>
      </c>
      <c r="D185" s="15">
        <v>1018</v>
      </c>
      <c r="E185" s="2">
        <v>72730</v>
      </c>
      <c r="F185" s="2" t="s">
        <v>28</v>
      </c>
      <c r="G185" s="2"/>
      <c r="H185" s="2"/>
      <c r="I185" s="2"/>
      <c r="J185" s="2"/>
      <c r="K185" s="2"/>
      <c r="L185" s="2"/>
      <c r="M185" s="2"/>
      <c r="N185" s="2">
        <f t="shared" si="2"/>
        <v>72730</v>
      </c>
      <c r="O185" s="71">
        <v>1706</v>
      </c>
    </row>
    <row r="186" spans="1:15" x14ac:dyDescent="0.25">
      <c r="A186" s="2">
        <v>7223</v>
      </c>
      <c r="B186" s="3" t="s">
        <v>8</v>
      </c>
      <c r="C186" s="3" t="s">
        <v>10</v>
      </c>
      <c r="D186" s="15">
        <v>1018</v>
      </c>
      <c r="E186" s="2">
        <v>109572</v>
      </c>
      <c r="F186" s="2" t="s">
        <v>29</v>
      </c>
      <c r="G186" s="2">
        <v>77313</v>
      </c>
      <c r="H186" s="2" t="s">
        <v>21</v>
      </c>
      <c r="I186" s="2" t="s">
        <v>29</v>
      </c>
      <c r="J186" s="2">
        <v>22093</v>
      </c>
      <c r="K186" s="2" t="s">
        <v>22</v>
      </c>
      <c r="L186" s="2" t="s">
        <v>23</v>
      </c>
      <c r="M186" s="11" t="s">
        <v>19</v>
      </c>
      <c r="N186" s="2">
        <f t="shared" si="2"/>
        <v>208978</v>
      </c>
      <c r="O186" s="71">
        <v>1706</v>
      </c>
    </row>
    <row r="187" spans="1:15" x14ac:dyDescent="0.25">
      <c r="A187" s="6">
        <v>7224</v>
      </c>
      <c r="B187" s="3" t="s">
        <v>8</v>
      </c>
      <c r="C187" s="3" t="s">
        <v>10</v>
      </c>
      <c r="D187" s="15">
        <v>1318</v>
      </c>
      <c r="E187" s="2">
        <v>109572</v>
      </c>
      <c r="F187" s="2" t="s">
        <v>29</v>
      </c>
      <c r="G187" s="2">
        <v>72852</v>
      </c>
      <c r="H187" s="2" t="s">
        <v>21</v>
      </c>
      <c r="I187" s="2" t="s">
        <v>29</v>
      </c>
      <c r="J187" s="2"/>
      <c r="K187" s="2" t="s">
        <v>22</v>
      </c>
      <c r="L187" s="2"/>
      <c r="M187" s="7">
        <v>19053</v>
      </c>
      <c r="N187" s="2">
        <f t="shared" si="2"/>
        <v>182424</v>
      </c>
      <c r="O187" s="71">
        <v>1706</v>
      </c>
    </row>
    <row r="188" spans="1:15" x14ac:dyDescent="0.25">
      <c r="A188" s="4">
        <v>7225</v>
      </c>
      <c r="B188" s="3" t="s">
        <v>8</v>
      </c>
      <c r="C188" s="3" t="s">
        <v>10</v>
      </c>
      <c r="D188" s="15">
        <v>1318</v>
      </c>
      <c r="E188" s="2">
        <v>69976</v>
      </c>
      <c r="F188" s="2" t="s">
        <v>51</v>
      </c>
      <c r="G188" s="2"/>
      <c r="H188" s="2"/>
      <c r="I188" s="2"/>
      <c r="J188" s="2"/>
      <c r="K188" s="2"/>
      <c r="L188" s="2"/>
      <c r="M188" s="2"/>
      <c r="N188" s="2">
        <f t="shared" si="2"/>
        <v>69976</v>
      </c>
      <c r="O188" s="71">
        <v>1706</v>
      </c>
    </row>
    <row r="189" spans="1:15" x14ac:dyDescent="0.25">
      <c r="A189" s="4">
        <v>7226</v>
      </c>
      <c r="B189" s="3" t="s">
        <v>8</v>
      </c>
      <c r="C189" s="3" t="s">
        <v>10</v>
      </c>
      <c r="D189" s="15">
        <v>1318</v>
      </c>
      <c r="E189" s="2">
        <v>69976</v>
      </c>
      <c r="F189" s="2" t="s">
        <v>51</v>
      </c>
      <c r="G189" s="2"/>
      <c r="H189" s="2"/>
      <c r="I189" s="2"/>
      <c r="J189" s="2"/>
      <c r="K189" s="2"/>
      <c r="L189" s="2"/>
      <c r="M189" s="2"/>
      <c r="N189" s="2">
        <f t="shared" si="2"/>
        <v>69976</v>
      </c>
      <c r="O189" s="71">
        <v>1706</v>
      </c>
    </row>
    <row r="190" spans="1:15" x14ac:dyDescent="0.25">
      <c r="A190" s="2">
        <v>7227</v>
      </c>
      <c r="B190" s="3" t="s">
        <v>8</v>
      </c>
      <c r="C190" s="3" t="s">
        <v>10</v>
      </c>
      <c r="D190" s="15">
        <v>1118</v>
      </c>
      <c r="E190" s="2">
        <v>81818</v>
      </c>
      <c r="F190" s="2" t="s">
        <v>50</v>
      </c>
      <c r="G190" s="2">
        <v>44877</v>
      </c>
      <c r="H190" s="2" t="s">
        <v>21</v>
      </c>
      <c r="I190" s="2" t="s">
        <v>25</v>
      </c>
      <c r="J190" s="2"/>
      <c r="K190" s="2"/>
      <c r="L190" s="2"/>
      <c r="M190" s="13" t="s">
        <v>19</v>
      </c>
      <c r="N190" s="2">
        <f t="shared" si="2"/>
        <v>126695</v>
      </c>
      <c r="O190" s="71">
        <v>1706</v>
      </c>
    </row>
    <row r="191" spans="1:15" x14ac:dyDescent="0.25">
      <c r="A191" s="4">
        <v>7228</v>
      </c>
      <c r="B191" s="3" t="s">
        <v>8</v>
      </c>
      <c r="C191" s="3" t="s">
        <v>10</v>
      </c>
      <c r="D191" s="15">
        <v>1418</v>
      </c>
      <c r="E191" s="2">
        <v>86077</v>
      </c>
      <c r="F191" s="2" t="s">
        <v>29</v>
      </c>
      <c r="G191" s="2">
        <v>2914</v>
      </c>
      <c r="H191" s="2" t="s">
        <v>21</v>
      </c>
      <c r="I191" s="2" t="s">
        <v>51</v>
      </c>
      <c r="J191" s="2"/>
      <c r="K191" s="2"/>
      <c r="L191" s="2"/>
      <c r="M191" s="2"/>
      <c r="N191" s="2">
        <f t="shared" si="2"/>
        <v>88991</v>
      </c>
      <c r="O191" s="71">
        <v>1706</v>
      </c>
    </row>
    <row r="192" spans="1:15" x14ac:dyDescent="0.25">
      <c r="A192" s="2">
        <v>7245</v>
      </c>
      <c r="B192" s="3" t="s">
        <v>8</v>
      </c>
      <c r="C192" s="3" t="s">
        <v>9</v>
      </c>
      <c r="D192" s="15">
        <v>1918</v>
      </c>
      <c r="E192" s="2">
        <v>121944</v>
      </c>
      <c r="F192" s="2" t="s">
        <v>29</v>
      </c>
      <c r="G192" s="2">
        <v>56305</v>
      </c>
      <c r="H192" s="2" t="s">
        <v>21</v>
      </c>
      <c r="I192" s="2" t="s">
        <v>23</v>
      </c>
      <c r="J192" s="2"/>
      <c r="K192" s="2"/>
      <c r="L192" s="2"/>
      <c r="M192" s="2" t="s">
        <v>19</v>
      </c>
      <c r="N192" s="2">
        <f t="shared" si="2"/>
        <v>178249</v>
      </c>
      <c r="O192" s="71">
        <v>1706</v>
      </c>
    </row>
    <row r="193" spans="1:15" x14ac:dyDescent="0.25">
      <c r="A193" s="2">
        <v>7246</v>
      </c>
      <c r="B193" s="3" t="s">
        <v>8</v>
      </c>
      <c r="C193" s="3" t="s">
        <v>9</v>
      </c>
      <c r="D193" s="15">
        <v>1918</v>
      </c>
      <c r="E193" s="2">
        <v>121944</v>
      </c>
      <c r="F193" s="2" t="s">
        <v>29</v>
      </c>
      <c r="G193" s="2">
        <v>59181</v>
      </c>
      <c r="H193" s="2" t="s">
        <v>21</v>
      </c>
      <c r="I193" s="2" t="s">
        <v>28</v>
      </c>
      <c r="J193" s="2"/>
      <c r="K193" s="2"/>
      <c r="L193" s="2"/>
      <c r="M193" s="2" t="s">
        <v>19</v>
      </c>
      <c r="N193" s="2">
        <f t="shared" si="2"/>
        <v>181125</v>
      </c>
      <c r="O193" s="71">
        <v>1706</v>
      </c>
    </row>
    <row r="194" spans="1:15" x14ac:dyDescent="0.25">
      <c r="A194" s="4">
        <v>7247</v>
      </c>
      <c r="B194" s="3" t="s">
        <v>8</v>
      </c>
      <c r="C194" s="3" t="s">
        <v>9</v>
      </c>
      <c r="D194" s="15">
        <v>1918</v>
      </c>
      <c r="E194" s="2">
        <v>30940</v>
      </c>
      <c r="F194" s="2" t="s">
        <v>51</v>
      </c>
      <c r="G194" s="2"/>
      <c r="H194" s="2"/>
      <c r="I194" s="2"/>
      <c r="J194" s="2"/>
      <c r="K194" s="2"/>
      <c r="L194" s="2"/>
      <c r="M194" s="2"/>
      <c r="N194" s="2">
        <f t="shared" si="2"/>
        <v>30940</v>
      </c>
      <c r="O194" s="71">
        <v>1706</v>
      </c>
    </row>
    <row r="195" spans="1:15" x14ac:dyDescent="0.25">
      <c r="A195" s="4">
        <v>7248</v>
      </c>
      <c r="B195" s="3" t="s">
        <v>8</v>
      </c>
      <c r="C195" s="3" t="s">
        <v>9</v>
      </c>
      <c r="D195" s="15">
        <v>1918</v>
      </c>
      <c r="E195" s="2">
        <v>30940</v>
      </c>
      <c r="F195" s="2" t="s">
        <v>51</v>
      </c>
      <c r="G195" s="2"/>
      <c r="H195" s="2"/>
      <c r="I195" s="2"/>
      <c r="J195" s="2"/>
      <c r="K195" s="2"/>
      <c r="L195" s="2"/>
      <c r="M195" s="2"/>
      <c r="N195" s="2">
        <f t="shared" si="2"/>
        <v>30940</v>
      </c>
      <c r="O195" s="71">
        <v>1706</v>
      </c>
    </row>
    <row r="196" spans="1:15" x14ac:dyDescent="0.25">
      <c r="A196" s="4">
        <v>7255</v>
      </c>
      <c r="B196" s="3" t="s">
        <v>8</v>
      </c>
      <c r="C196" s="3" t="s">
        <v>9</v>
      </c>
      <c r="D196" s="15">
        <v>2718</v>
      </c>
      <c r="E196" s="2">
        <v>112115</v>
      </c>
      <c r="F196" s="2" t="s">
        <v>29</v>
      </c>
      <c r="G196" s="2">
        <v>2914</v>
      </c>
      <c r="H196" s="2" t="s">
        <v>21</v>
      </c>
      <c r="I196" s="2" t="s">
        <v>51</v>
      </c>
      <c r="J196" s="2"/>
      <c r="K196" s="2"/>
      <c r="L196" s="2"/>
      <c r="M196" s="2"/>
      <c r="N196" s="2">
        <f t="shared" si="2"/>
        <v>115029</v>
      </c>
      <c r="O196" s="71">
        <v>1454</v>
      </c>
    </row>
    <row r="197" spans="1:15" x14ac:dyDescent="0.25">
      <c r="A197" s="4">
        <v>7256</v>
      </c>
      <c r="B197" s="3" t="s">
        <v>8</v>
      </c>
      <c r="C197" s="3" t="s">
        <v>9</v>
      </c>
      <c r="D197" s="15">
        <v>2718</v>
      </c>
      <c r="E197" s="2">
        <v>112115</v>
      </c>
      <c r="F197" s="2" t="s">
        <v>29</v>
      </c>
      <c r="G197" s="2">
        <v>2620</v>
      </c>
      <c r="H197" s="2" t="s">
        <v>21</v>
      </c>
      <c r="I197" s="2" t="s">
        <v>51</v>
      </c>
      <c r="J197" s="2"/>
      <c r="K197" s="2"/>
      <c r="L197" s="2"/>
      <c r="M197" s="2"/>
      <c r="N197" s="2">
        <f t="shared" si="2"/>
        <v>114735</v>
      </c>
      <c r="O197" s="71">
        <v>1454</v>
      </c>
    </row>
    <row r="198" spans="1:15" x14ac:dyDescent="0.25">
      <c r="A198" s="4">
        <v>7257</v>
      </c>
      <c r="B198" s="3" t="s">
        <v>8</v>
      </c>
      <c r="C198" s="3" t="s">
        <v>9</v>
      </c>
      <c r="D198" s="15">
        <v>3318</v>
      </c>
      <c r="E198" s="2">
        <v>31742</v>
      </c>
      <c r="F198" s="2" t="s">
        <v>51</v>
      </c>
      <c r="G198" s="2"/>
      <c r="H198" s="2"/>
      <c r="I198" s="2"/>
      <c r="J198" s="2"/>
      <c r="K198" s="2"/>
      <c r="L198" s="2"/>
      <c r="M198" s="2"/>
      <c r="N198" s="2">
        <f t="shared" ref="N198:N261" si="3">SUM(E198,G198,J198,)</f>
        <v>31742</v>
      </c>
      <c r="O198" s="71">
        <v>1454</v>
      </c>
    </row>
    <row r="199" spans="1:15" x14ac:dyDescent="0.25">
      <c r="A199" s="4">
        <v>7258</v>
      </c>
      <c r="B199" s="3" t="s">
        <v>8</v>
      </c>
      <c r="C199" s="3" t="s">
        <v>9</v>
      </c>
      <c r="D199" s="15">
        <v>2718</v>
      </c>
      <c r="E199" s="2">
        <v>31742</v>
      </c>
      <c r="F199" s="2" t="s">
        <v>51</v>
      </c>
      <c r="G199" s="2"/>
      <c r="H199" s="2"/>
      <c r="I199" s="2"/>
      <c r="J199" s="2"/>
      <c r="K199" s="2"/>
      <c r="L199" s="2"/>
      <c r="M199" s="2"/>
      <c r="N199" s="2">
        <f t="shared" si="3"/>
        <v>31742</v>
      </c>
      <c r="O199" s="71">
        <v>1454</v>
      </c>
    </row>
    <row r="200" spans="1:15" x14ac:dyDescent="0.25">
      <c r="A200" s="2">
        <v>7259</v>
      </c>
      <c r="B200" s="3" t="s">
        <v>8</v>
      </c>
      <c r="C200" s="3" t="s">
        <v>9</v>
      </c>
      <c r="D200" s="15">
        <v>2718</v>
      </c>
      <c r="E200" s="2">
        <v>100234</v>
      </c>
      <c r="F200" s="2" t="s">
        <v>28</v>
      </c>
      <c r="G200" s="2">
        <v>70037</v>
      </c>
      <c r="H200" s="2" t="s">
        <v>21</v>
      </c>
      <c r="I200" s="2" t="s">
        <v>29</v>
      </c>
      <c r="J200" s="2">
        <v>44979</v>
      </c>
      <c r="K200" s="2" t="s">
        <v>22</v>
      </c>
      <c r="L200" s="2" t="s">
        <v>29</v>
      </c>
      <c r="M200" s="7" t="s">
        <v>19</v>
      </c>
      <c r="N200" s="2">
        <f t="shared" si="3"/>
        <v>215250</v>
      </c>
      <c r="O200" s="71">
        <v>1454</v>
      </c>
    </row>
    <row r="201" spans="1:15" x14ac:dyDescent="0.25">
      <c r="A201" s="4">
        <v>7260</v>
      </c>
      <c r="B201" s="3" t="s">
        <v>8</v>
      </c>
      <c r="C201" s="3" t="s">
        <v>9</v>
      </c>
      <c r="D201" s="15">
        <v>2718</v>
      </c>
      <c r="E201" s="2">
        <v>14035</v>
      </c>
      <c r="F201" s="2" t="s">
        <v>51</v>
      </c>
      <c r="G201" s="2"/>
      <c r="H201" s="2"/>
      <c r="I201" s="2"/>
      <c r="J201" s="2"/>
      <c r="K201" s="2"/>
      <c r="L201" s="2"/>
      <c r="M201" s="2"/>
      <c r="N201" s="2">
        <f t="shared" si="3"/>
        <v>14035</v>
      </c>
      <c r="O201" s="71">
        <v>1454</v>
      </c>
    </row>
    <row r="202" spans="1:15" x14ac:dyDescent="0.25">
      <c r="A202" s="4">
        <v>7261</v>
      </c>
      <c r="B202" s="3" t="s">
        <v>8</v>
      </c>
      <c r="C202" s="3" t="s">
        <v>9</v>
      </c>
      <c r="D202" s="15">
        <v>3118</v>
      </c>
      <c r="E202" s="2">
        <v>40446</v>
      </c>
      <c r="F202" s="2" t="s">
        <v>51</v>
      </c>
      <c r="G202" s="2"/>
      <c r="H202" s="2"/>
      <c r="I202" s="2"/>
      <c r="J202" s="2"/>
      <c r="K202" s="2"/>
      <c r="L202" s="2"/>
      <c r="M202" s="2"/>
      <c r="N202" s="2">
        <f t="shared" si="3"/>
        <v>40446</v>
      </c>
      <c r="O202" s="71">
        <v>1454</v>
      </c>
    </row>
    <row r="203" spans="1:15" x14ac:dyDescent="0.25">
      <c r="A203" s="4">
        <v>7262</v>
      </c>
      <c r="B203" s="3" t="s">
        <v>8</v>
      </c>
      <c r="C203" s="3" t="s">
        <v>9</v>
      </c>
      <c r="D203" s="15">
        <v>2718</v>
      </c>
      <c r="E203" s="2">
        <v>40446</v>
      </c>
      <c r="F203" s="2" t="s">
        <v>51</v>
      </c>
      <c r="G203" s="2"/>
      <c r="H203" s="2"/>
      <c r="I203" s="2"/>
      <c r="J203" s="2"/>
      <c r="K203" s="2"/>
      <c r="L203" s="2"/>
      <c r="M203" s="2"/>
      <c r="N203" s="2">
        <f t="shared" si="3"/>
        <v>40446</v>
      </c>
      <c r="O203" s="71">
        <v>1454</v>
      </c>
    </row>
    <row r="204" spans="1:15" x14ac:dyDescent="0.25">
      <c r="A204" s="4">
        <v>7275</v>
      </c>
      <c r="B204" s="3" t="s">
        <v>8</v>
      </c>
      <c r="C204" s="3" t="s">
        <v>9</v>
      </c>
      <c r="D204" s="15">
        <v>3918</v>
      </c>
      <c r="E204" s="2">
        <v>35687</v>
      </c>
      <c r="F204" s="2" t="s">
        <v>51</v>
      </c>
      <c r="G204" s="2"/>
      <c r="H204" s="2"/>
      <c r="I204" s="2"/>
      <c r="J204" s="2"/>
      <c r="K204" s="2"/>
      <c r="L204" s="2"/>
      <c r="M204" s="2"/>
      <c r="N204" s="2">
        <f t="shared" si="3"/>
        <v>35687</v>
      </c>
      <c r="O204" s="71">
        <v>1454</v>
      </c>
    </row>
    <row r="205" spans="1:15" x14ac:dyDescent="0.25">
      <c r="A205" s="4">
        <v>7276</v>
      </c>
      <c r="B205" s="3" t="s">
        <v>8</v>
      </c>
      <c r="C205" s="3" t="s">
        <v>9</v>
      </c>
      <c r="D205" s="15">
        <v>3918</v>
      </c>
      <c r="E205" s="2">
        <v>35687</v>
      </c>
      <c r="F205" s="2" t="s">
        <v>51</v>
      </c>
      <c r="G205" s="2"/>
      <c r="H205" s="2"/>
      <c r="I205" s="2"/>
      <c r="J205" s="2"/>
      <c r="K205" s="2"/>
      <c r="L205" s="2"/>
      <c r="M205" s="2"/>
      <c r="N205" s="2">
        <f t="shared" si="3"/>
        <v>35687</v>
      </c>
      <c r="O205" s="71">
        <v>1454</v>
      </c>
    </row>
    <row r="206" spans="1:15" x14ac:dyDescent="0.25">
      <c r="A206" s="4">
        <v>7277</v>
      </c>
      <c r="B206" s="3" t="s">
        <v>8</v>
      </c>
      <c r="C206" s="3" t="s">
        <v>9</v>
      </c>
      <c r="D206" s="15">
        <v>3918</v>
      </c>
      <c r="E206" s="2">
        <v>34038</v>
      </c>
      <c r="F206" s="2" t="s">
        <v>51</v>
      </c>
      <c r="G206" s="2"/>
      <c r="H206" s="2"/>
      <c r="I206" s="2"/>
      <c r="J206" s="2"/>
      <c r="K206" s="2"/>
      <c r="L206" s="2"/>
      <c r="M206" s="2"/>
      <c r="N206" s="2">
        <f t="shared" si="3"/>
        <v>34038</v>
      </c>
      <c r="O206" s="71">
        <v>1454</v>
      </c>
    </row>
    <row r="207" spans="1:15" x14ac:dyDescent="0.25">
      <c r="A207" s="4">
        <v>7278</v>
      </c>
      <c r="B207" s="3" t="s">
        <v>8</v>
      </c>
      <c r="C207" s="3" t="s">
        <v>9</v>
      </c>
      <c r="D207" s="15">
        <v>3918</v>
      </c>
      <c r="E207" s="2">
        <v>34038</v>
      </c>
      <c r="F207" s="2" t="s">
        <v>51</v>
      </c>
      <c r="G207" s="2"/>
      <c r="H207" s="2"/>
      <c r="I207" s="2"/>
      <c r="J207" s="2"/>
      <c r="K207" s="2"/>
      <c r="L207" s="2"/>
      <c r="M207" s="2"/>
      <c r="N207" s="2">
        <f t="shared" si="3"/>
        <v>34038</v>
      </c>
      <c r="O207" s="71">
        <v>1454</v>
      </c>
    </row>
    <row r="208" spans="1:15" x14ac:dyDescent="0.25">
      <c r="A208" s="2">
        <v>7279</v>
      </c>
      <c r="B208" s="3" t="s">
        <v>8</v>
      </c>
      <c r="C208" s="3" t="s">
        <v>9</v>
      </c>
      <c r="D208" s="15">
        <v>3918</v>
      </c>
      <c r="E208" s="2">
        <v>106649</v>
      </c>
      <c r="F208" s="2" t="s">
        <v>29</v>
      </c>
      <c r="G208" s="2"/>
      <c r="H208" s="2"/>
      <c r="I208" s="2" t="s">
        <v>23</v>
      </c>
      <c r="J208" s="2"/>
      <c r="K208" s="2"/>
      <c r="L208" s="2"/>
      <c r="M208" s="2" t="s">
        <v>19</v>
      </c>
      <c r="N208" s="2">
        <f t="shared" si="3"/>
        <v>106649</v>
      </c>
      <c r="O208" s="71">
        <v>1454</v>
      </c>
    </row>
    <row r="209" spans="1:16" x14ac:dyDescent="0.25">
      <c r="A209" s="4">
        <v>7280</v>
      </c>
      <c r="B209" s="3" t="s">
        <v>8</v>
      </c>
      <c r="C209" s="3" t="s">
        <v>9</v>
      </c>
      <c r="D209" s="15">
        <v>3918</v>
      </c>
      <c r="E209" s="2">
        <v>23978</v>
      </c>
      <c r="F209" s="2" t="s">
        <v>51</v>
      </c>
      <c r="G209" s="2"/>
      <c r="H209" s="2"/>
      <c r="I209" s="2"/>
      <c r="J209" s="2"/>
      <c r="K209" s="2"/>
      <c r="L209" s="2"/>
      <c r="M209" s="2"/>
      <c r="N209" s="2">
        <f t="shared" si="3"/>
        <v>23978</v>
      </c>
      <c r="O209" s="71">
        <v>1454</v>
      </c>
    </row>
    <row r="210" spans="1:16" x14ac:dyDescent="0.25">
      <c r="A210" s="2">
        <v>7281</v>
      </c>
      <c r="B210" s="3" t="s">
        <v>8</v>
      </c>
      <c r="C210" s="3" t="s">
        <v>9</v>
      </c>
      <c r="D210" s="15">
        <v>3918</v>
      </c>
      <c r="E210" s="2">
        <v>5765</v>
      </c>
      <c r="F210" s="2" t="s">
        <v>28</v>
      </c>
      <c r="G210" s="2"/>
      <c r="H210" s="2"/>
      <c r="I210" s="2"/>
      <c r="J210" s="2"/>
      <c r="K210" s="2"/>
      <c r="L210" s="2"/>
      <c r="M210" s="2" t="s">
        <v>19</v>
      </c>
      <c r="N210" s="2">
        <f t="shared" si="3"/>
        <v>5765</v>
      </c>
      <c r="O210" s="71">
        <v>1454</v>
      </c>
    </row>
    <row r="211" spans="1:16" x14ac:dyDescent="0.25">
      <c r="A211" s="2">
        <v>7282</v>
      </c>
      <c r="B211" s="3" t="s">
        <v>8</v>
      </c>
      <c r="C211" s="3" t="s">
        <v>9</v>
      </c>
      <c r="D211" s="15">
        <v>3918</v>
      </c>
      <c r="E211" s="2">
        <v>98201</v>
      </c>
      <c r="F211" s="2" t="s">
        <v>29</v>
      </c>
      <c r="G211" s="2">
        <v>51441</v>
      </c>
      <c r="H211" s="2" t="s">
        <v>21</v>
      </c>
      <c r="I211" s="2"/>
      <c r="J211" s="2"/>
      <c r="K211" s="2"/>
      <c r="L211" s="2"/>
      <c r="M211" s="7" t="s">
        <v>30</v>
      </c>
      <c r="N211" s="2">
        <f t="shared" si="3"/>
        <v>149642</v>
      </c>
      <c r="O211" s="71">
        <v>1454</v>
      </c>
    </row>
    <row r="212" spans="1:16" x14ac:dyDescent="0.25">
      <c r="A212" s="6">
        <v>7289</v>
      </c>
      <c r="B212" s="3" t="s">
        <v>11</v>
      </c>
      <c r="C212" s="3" t="s">
        <v>12</v>
      </c>
      <c r="D212" s="15">
        <v>3818</v>
      </c>
      <c r="E212" s="2">
        <v>84283</v>
      </c>
      <c r="F212" s="2" t="s">
        <v>29</v>
      </c>
      <c r="G212" s="2">
        <v>104820</v>
      </c>
      <c r="H212" s="2" t="s">
        <v>27</v>
      </c>
      <c r="I212" s="2" t="s">
        <v>29</v>
      </c>
      <c r="J212" s="2"/>
      <c r="K212" s="2" t="s">
        <v>21</v>
      </c>
      <c r="L212" s="2"/>
      <c r="M212" s="2">
        <v>19056</v>
      </c>
      <c r="N212" s="2">
        <f t="shared" si="3"/>
        <v>189103</v>
      </c>
      <c r="O212" s="71">
        <v>1635</v>
      </c>
    </row>
    <row r="213" spans="1:16" x14ac:dyDescent="0.25">
      <c r="A213" s="2">
        <v>7290</v>
      </c>
      <c r="B213" s="3" t="s">
        <v>11</v>
      </c>
      <c r="C213" s="3" t="s">
        <v>12</v>
      </c>
      <c r="D213" s="15">
        <v>3818</v>
      </c>
      <c r="E213" s="2">
        <v>80224</v>
      </c>
      <c r="F213" s="2" t="s">
        <v>29</v>
      </c>
      <c r="G213" s="2"/>
      <c r="H213" s="2"/>
      <c r="I213" s="2" t="s">
        <v>23</v>
      </c>
      <c r="J213" s="2"/>
      <c r="K213" s="2"/>
      <c r="L213" s="2"/>
      <c r="M213" s="2" t="s">
        <v>19</v>
      </c>
      <c r="N213" s="2">
        <f t="shared" si="3"/>
        <v>80224</v>
      </c>
      <c r="O213" s="71">
        <v>1635</v>
      </c>
    </row>
    <row r="214" spans="1:16" x14ac:dyDescent="0.25">
      <c r="A214" s="4">
        <v>7291</v>
      </c>
      <c r="B214" s="3" t="s">
        <v>11</v>
      </c>
      <c r="C214" s="3" t="s">
        <v>12</v>
      </c>
      <c r="D214" s="15">
        <v>3818</v>
      </c>
      <c r="E214" s="2">
        <v>40328</v>
      </c>
      <c r="F214" s="2" t="s">
        <v>51</v>
      </c>
      <c r="G214" s="2"/>
      <c r="H214" s="2"/>
      <c r="I214" s="2"/>
      <c r="J214" s="2"/>
      <c r="K214" s="2"/>
      <c r="L214" s="2"/>
      <c r="M214" s="2"/>
      <c r="N214" s="2">
        <f t="shared" si="3"/>
        <v>40328</v>
      </c>
      <c r="O214" s="71">
        <v>1635</v>
      </c>
    </row>
    <row r="215" spans="1:16" x14ac:dyDescent="0.25">
      <c r="A215" s="4">
        <v>7292</v>
      </c>
      <c r="B215" s="3" t="s">
        <v>11</v>
      </c>
      <c r="C215" s="3" t="s">
        <v>12</v>
      </c>
      <c r="D215" s="15">
        <v>3818</v>
      </c>
      <c r="E215" s="2">
        <v>40328</v>
      </c>
      <c r="F215" s="2" t="s">
        <v>51</v>
      </c>
      <c r="G215" s="2"/>
      <c r="H215" s="2"/>
      <c r="I215" s="2"/>
      <c r="J215" s="2"/>
      <c r="K215" s="2"/>
      <c r="L215" s="2"/>
      <c r="M215" s="2"/>
      <c r="N215" s="2">
        <f t="shared" si="3"/>
        <v>40328</v>
      </c>
      <c r="O215" s="71">
        <v>1635</v>
      </c>
    </row>
    <row r="216" spans="1:16" x14ac:dyDescent="0.25">
      <c r="A216" s="2">
        <v>7303</v>
      </c>
      <c r="B216" s="3" t="s">
        <v>11</v>
      </c>
      <c r="C216" s="3" t="s">
        <v>12</v>
      </c>
      <c r="D216" s="15">
        <v>3118</v>
      </c>
      <c r="E216" s="2">
        <v>73128</v>
      </c>
      <c r="F216" s="2" t="s">
        <v>29</v>
      </c>
      <c r="G216" s="2">
        <v>108852</v>
      </c>
      <c r="H216" s="2" t="s">
        <v>27</v>
      </c>
      <c r="I216" s="2" t="s">
        <v>29</v>
      </c>
      <c r="J216" s="2"/>
      <c r="K216" s="2"/>
      <c r="L216" s="2"/>
      <c r="M216" s="2" t="s">
        <v>19</v>
      </c>
      <c r="N216" s="2">
        <f t="shared" si="3"/>
        <v>181980</v>
      </c>
      <c r="O216" s="71">
        <v>1635</v>
      </c>
    </row>
    <row r="217" spans="1:16" x14ac:dyDescent="0.25">
      <c r="A217" s="6">
        <v>7304</v>
      </c>
      <c r="B217" s="3" t="s">
        <v>11</v>
      </c>
      <c r="C217" s="3" t="s">
        <v>12</v>
      </c>
      <c r="D217" s="15">
        <v>3118</v>
      </c>
      <c r="E217" s="2">
        <v>73128</v>
      </c>
      <c r="F217" s="2" t="s">
        <v>29</v>
      </c>
      <c r="G217" s="2">
        <v>120966</v>
      </c>
      <c r="H217" s="2" t="s">
        <v>27</v>
      </c>
      <c r="I217" s="2" t="s">
        <v>29</v>
      </c>
      <c r="J217" s="2"/>
      <c r="K217" s="2"/>
      <c r="L217" s="2"/>
      <c r="M217" s="4">
        <v>19054</v>
      </c>
      <c r="N217" s="2">
        <f t="shared" si="3"/>
        <v>194094</v>
      </c>
      <c r="O217" s="71">
        <v>1635</v>
      </c>
    </row>
    <row r="218" spans="1:16" x14ac:dyDescent="0.25">
      <c r="A218" s="2">
        <v>7305</v>
      </c>
      <c r="B218" s="3" t="s">
        <v>11</v>
      </c>
      <c r="C218" s="3" t="s">
        <v>12</v>
      </c>
      <c r="D218" s="15">
        <v>3118</v>
      </c>
      <c r="E218" s="2">
        <v>74139</v>
      </c>
      <c r="F218" s="2" t="s">
        <v>29</v>
      </c>
      <c r="G218" s="2">
        <v>132491</v>
      </c>
      <c r="H218" s="2" t="s">
        <v>27</v>
      </c>
      <c r="I218" s="2" t="s">
        <v>29</v>
      </c>
      <c r="J218" s="2"/>
      <c r="K218" s="2"/>
      <c r="L218" s="2"/>
      <c r="M218" s="2" t="s">
        <v>19</v>
      </c>
      <c r="N218" s="2">
        <f t="shared" si="3"/>
        <v>206630</v>
      </c>
      <c r="O218" s="71">
        <v>1635</v>
      </c>
    </row>
    <row r="219" spans="1:16" x14ac:dyDescent="0.25">
      <c r="A219" s="4">
        <v>7306</v>
      </c>
      <c r="B219" s="3" t="s">
        <v>11</v>
      </c>
      <c r="C219" s="3" t="s">
        <v>12</v>
      </c>
      <c r="D219" s="15">
        <v>3118</v>
      </c>
      <c r="E219" s="2">
        <v>77279</v>
      </c>
      <c r="F219" s="2" t="s">
        <v>51</v>
      </c>
      <c r="G219" s="2"/>
      <c r="H219" s="2"/>
      <c r="I219" s="2"/>
      <c r="J219" s="2"/>
      <c r="K219" s="2"/>
      <c r="L219" s="2"/>
      <c r="M219" s="2"/>
      <c r="N219" s="2">
        <f t="shared" si="3"/>
        <v>77279</v>
      </c>
      <c r="O219" s="71">
        <v>1635</v>
      </c>
    </row>
    <row r="220" spans="1:16" x14ac:dyDescent="0.25">
      <c r="A220" s="4">
        <v>7307</v>
      </c>
      <c r="B220" s="3" t="s">
        <v>11</v>
      </c>
      <c r="C220" s="3" t="s">
        <v>12</v>
      </c>
      <c r="D220" s="15">
        <v>3118</v>
      </c>
      <c r="E220" s="2">
        <v>27954</v>
      </c>
      <c r="F220" s="2" t="s">
        <v>51</v>
      </c>
      <c r="G220" s="2"/>
      <c r="H220" s="2"/>
      <c r="I220" s="2"/>
      <c r="J220" s="2"/>
      <c r="K220" s="2"/>
      <c r="L220" s="2"/>
      <c r="M220" s="2"/>
      <c r="N220" s="2">
        <f t="shared" si="3"/>
        <v>27954</v>
      </c>
      <c r="O220" s="71">
        <v>1635</v>
      </c>
    </row>
    <row r="221" spans="1:16" x14ac:dyDescent="0.25">
      <c r="A221" s="4">
        <v>7308</v>
      </c>
      <c r="B221" s="3" t="s">
        <v>11</v>
      </c>
      <c r="C221" s="3" t="s">
        <v>12</v>
      </c>
      <c r="D221" s="15">
        <v>3118</v>
      </c>
      <c r="E221" s="2">
        <v>27954</v>
      </c>
      <c r="F221" s="2" t="s">
        <v>51</v>
      </c>
      <c r="G221" s="2"/>
      <c r="H221" s="2"/>
      <c r="I221" s="2"/>
      <c r="J221" s="2"/>
      <c r="K221" s="2"/>
      <c r="L221" s="2"/>
      <c r="M221" s="2"/>
      <c r="N221" s="2">
        <f t="shared" si="3"/>
        <v>27954</v>
      </c>
      <c r="O221" s="71">
        <v>1635</v>
      </c>
    </row>
    <row r="222" spans="1:16" x14ac:dyDescent="0.25">
      <c r="A222" s="2">
        <v>7309</v>
      </c>
      <c r="B222" s="3" t="s">
        <v>11</v>
      </c>
      <c r="C222" s="3" t="s">
        <v>12</v>
      </c>
      <c r="D222" s="15">
        <v>2918</v>
      </c>
      <c r="E222" s="2">
        <v>78236</v>
      </c>
      <c r="F222" s="2" t="s">
        <v>29</v>
      </c>
      <c r="G222" s="2"/>
      <c r="H222" s="2" t="s">
        <v>27</v>
      </c>
      <c r="I222" s="2" t="s">
        <v>51</v>
      </c>
      <c r="J222" s="2"/>
      <c r="K222" s="2"/>
      <c r="L222" s="2"/>
      <c r="M222" s="2">
        <v>9004</v>
      </c>
      <c r="N222" s="2">
        <f t="shared" si="3"/>
        <v>78236</v>
      </c>
      <c r="O222" s="71">
        <v>1635</v>
      </c>
      <c r="P222" t="s">
        <v>53</v>
      </c>
    </row>
    <row r="223" spans="1:16" x14ac:dyDescent="0.25">
      <c r="A223" s="13">
        <v>7310</v>
      </c>
      <c r="B223" s="14" t="s">
        <v>11</v>
      </c>
      <c r="C223" s="14" t="s">
        <v>12</v>
      </c>
      <c r="D223" s="16">
        <v>3118</v>
      </c>
      <c r="E223" s="13">
        <v>75096</v>
      </c>
      <c r="F223" s="13" t="s">
        <v>28</v>
      </c>
      <c r="G223" s="13">
        <v>102178</v>
      </c>
      <c r="H223" s="13" t="s">
        <v>27</v>
      </c>
      <c r="I223" s="13" t="s">
        <v>28</v>
      </c>
      <c r="J223" s="13"/>
      <c r="K223" s="13"/>
      <c r="L223" s="13"/>
      <c r="M223" s="13" t="s">
        <v>45</v>
      </c>
      <c r="N223" s="2">
        <f t="shared" si="3"/>
        <v>177274</v>
      </c>
      <c r="O223" s="71">
        <v>1635</v>
      </c>
    </row>
    <row r="224" spans="1:16" x14ac:dyDescent="0.25">
      <c r="A224" s="2">
        <v>7339</v>
      </c>
      <c r="B224" s="3" t="s">
        <v>11</v>
      </c>
      <c r="C224" s="3" t="s">
        <v>12</v>
      </c>
      <c r="D224" s="15">
        <v>519</v>
      </c>
      <c r="E224" s="2">
        <v>91414</v>
      </c>
      <c r="F224" s="2" t="s">
        <v>29</v>
      </c>
      <c r="G224" s="2">
        <v>123657</v>
      </c>
      <c r="H224" s="2" t="s">
        <v>27</v>
      </c>
      <c r="I224" s="2" t="s">
        <v>29</v>
      </c>
      <c r="J224" s="2"/>
      <c r="K224" s="2" t="s">
        <v>27</v>
      </c>
      <c r="L224" s="2"/>
      <c r="M224" s="7" t="s">
        <v>30</v>
      </c>
      <c r="N224" s="2">
        <f t="shared" si="3"/>
        <v>215071</v>
      </c>
      <c r="O224" s="71">
        <v>1635</v>
      </c>
    </row>
    <row r="225" spans="1:16" x14ac:dyDescent="0.25">
      <c r="A225" s="2">
        <v>7340</v>
      </c>
      <c r="B225" s="3" t="s">
        <v>11</v>
      </c>
      <c r="C225" s="3" t="s">
        <v>12</v>
      </c>
      <c r="D225" s="15">
        <v>519</v>
      </c>
      <c r="E225" s="2">
        <v>91414</v>
      </c>
      <c r="F225" s="2" t="s">
        <v>29</v>
      </c>
      <c r="G225" s="2">
        <v>70361</v>
      </c>
      <c r="H225" s="2" t="s">
        <v>27</v>
      </c>
      <c r="I225" s="2" t="s">
        <v>28</v>
      </c>
      <c r="J225" s="2"/>
      <c r="K225" s="2"/>
      <c r="L225" s="2"/>
      <c r="M225" s="2" t="s">
        <v>19</v>
      </c>
      <c r="N225" s="2">
        <f t="shared" si="3"/>
        <v>161775</v>
      </c>
      <c r="O225" s="71">
        <v>1635</v>
      </c>
    </row>
    <row r="226" spans="1:16" x14ac:dyDescent="0.25">
      <c r="A226" s="4">
        <v>7341</v>
      </c>
      <c r="B226" s="3" t="s">
        <v>11</v>
      </c>
      <c r="C226" s="3" t="s">
        <v>12</v>
      </c>
      <c r="D226" s="15">
        <v>519</v>
      </c>
      <c r="E226" s="2">
        <v>14645</v>
      </c>
      <c r="F226" s="2" t="s">
        <v>51</v>
      </c>
      <c r="G226" s="2"/>
      <c r="H226" s="2"/>
      <c r="I226" s="2"/>
      <c r="J226" s="2"/>
      <c r="K226" s="2"/>
      <c r="L226" s="2"/>
      <c r="M226" s="2"/>
      <c r="N226" s="2">
        <f t="shared" si="3"/>
        <v>14645</v>
      </c>
      <c r="O226" s="71">
        <v>1635</v>
      </c>
    </row>
    <row r="227" spans="1:16" x14ac:dyDescent="0.25">
      <c r="A227" s="4">
        <v>7342</v>
      </c>
      <c r="B227" s="3" t="s">
        <v>11</v>
      </c>
      <c r="C227" s="3" t="s">
        <v>12</v>
      </c>
      <c r="D227" s="15">
        <v>519</v>
      </c>
      <c r="E227" s="2">
        <v>14645</v>
      </c>
      <c r="F227" s="2" t="s">
        <v>51</v>
      </c>
      <c r="G227" s="2"/>
      <c r="H227" s="2"/>
      <c r="I227" s="2"/>
      <c r="J227" s="2"/>
      <c r="K227" s="2"/>
      <c r="L227" s="2"/>
      <c r="M227" s="2"/>
      <c r="N227" s="2">
        <f t="shared" si="3"/>
        <v>14645</v>
      </c>
      <c r="O227" s="71">
        <v>1635</v>
      </c>
    </row>
    <row r="228" spans="1:16" x14ac:dyDescent="0.25">
      <c r="A228" s="6">
        <v>7343</v>
      </c>
      <c r="B228" s="3" t="s">
        <v>11</v>
      </c>
      <c r="C228" s="3" t="s">
        <v>12</v>
      </c>
      <c r="D228" s="15">
        <v>519</v>
      </c>
      <c r="E228" s="2">
        <v>103272</v>
      </c>
      <c r="F228" s="2" t="s">
        <v>29</v>
      </c>
      <c r="G228" s="2">
        <v>114068</v>
      </c>
      <c r="H228" s="2" t="s">
        <v>27</v>
      </c>
      <c r="I228" s="2" t="s">
        <v>29</v>
      </c>
      <c r="J228" s="2"/>
      <c r="K228" s="2" t="s">
        <v>21</v>
      </c>
      <c r="L228" s="2"/>
      <c r="M228" s="2">
        <v>19056</v>
      </c>
      <c r="N228" s="2">
        <f t="shared" si="3"/>
        <v>217340</v>
      </c>
      <c r="O228" s="71">
        <v>1635</v>
      </c>
    </row>
    <row r="229" spans="1:16" x14ac:dyDescent="0.25">
      <c r="A229" s="6">
        <v>7344</v>
      </c>
      <c r="B229" s="3" t="s">
        <v>11</v>
      </c>
      <c r="C229" s="3" t="s">
        <v>12</v>
      </c>
      <c r="D229" s="15">
        <v>519</v>
      </c>
      <c r="E229" s="2">
        <v>116419</v>
      </c>
      <c r="F229" s="2" t="s">
        <v>29</v>
      </c>
      <c r="G229" s="2"/>
      <c r="H229" s="2"/>
      <c r="I229" s="2"/>
      <c r="J229" s="2"/>
      <c r="K229" s="2"/>
      <c r="L229" s="2"/>
      <c r="M229" s="4">
        <v>19060</v>
      </c>
      <c r="N229" s="2">
        <f t="shared" si="3"/>
        <v>116419</v>
      </c>
      <c r="O229" s="71">
        <v>1635</v>
      </c>
    </row>
    <row r="230" spans="1:16" x14ac:dyDescent="0.25">
      <c r="A230" s="4">
        <v>7345</v>
      </c>
      <c r="B230" s="3" t="s">
        <v>11</v>
      </c>
      <c r="C230" s="3" t="s">
        <v>12</v>
      </c>
      <c r="D230" s="15">
        <v>519</v>
      </c>
      <c r="E230" s="2">
        <v>17644</v>
      </c>
      <c r="F230" s="2" t="s">
        <v>51</v>
      </c>
      <c r="G230" s="2"/>
      <c r="H230" s="2"/>
      <c r="I230" s="2"/>
      <c r="J230" s="2"/>
      <c r="K230" s="2"/>
      <c r="L230" s="2"/>
      <c r="M230" s="2"/>
      <c r="N230" s="2">
        <f t="shared" si="3"/>
        <v>17644</v>
      </c>
      <c r="O230" s="71">
        <v>1635</v>
      </c>
    </row>
    <row r="231" spans="1:16" x14ac:dyDescent="0.25">
      <c r="A231" s="4">
        <v>7346</v>
      </c>
      <c r="B231" s="3" t="s">
        <v>11</v>
      </c>
      <c r="C231" s="3" t="s">
        <v>12</v>
      </c>
      <c r="D231" s="15">
        <v>519</v>
      </c>
      <c r="E231" s="2">
        <v>17644</v>
      </c>
      <c r="F231" s="2" t="s">
        <v>51</v>
      </c>
      <c r="G231" s="2"/>
      <c r="H231" s="2"/>
      <c r="I231" s="2"/>
      <c r="J231" s="2"/>
      <c r="K231" s="2"/>
      <c r="L231" s="2"/>
      <c r="M231" s="2"/>
      <c r="N231" s="2">
        <f t="shared" si="3"/>
        <v>17644</v>
      </c>
      <c r="O231" s="71">
        <v>1635</v>
      </c>
    </row>
    <row r="232" spans="1:16" x14ac:dyDescent="0.25">
      <c r="A232" s="4">
        <v>7389</v>
      </c>
      <c r="B232" s="3" t="s">
        <v>11</v>
      </c>
      <c r="C232" s="3" t="s">
        <v>12</v>
      </c>
      <c r="D232" s="15">
        <v>1419</v>
      </c>
      <c r="E232" s="2">
        <v>5904</v>
      </c>
      <c r="F232" s="2" t="s">
        <v>51</v>
      </c>
      <c r="G232" s="2"/>
      <c r="H232" s="2"/>
      <c r="I232" s="2"/>
      <c r="J232" s="2"/>
      <c r="K232" s="2"/>
      <c r="L232" s="2"/>
      <c r="M232" s="2"/>
      <c r="N232" s="2">
        <f t="shared" si="3"/>
        <v>5904</v>
      </c>
      <c r="O232" s="71">
        <v>1635</v>
      </c>
    </row>
    <row r="233" spans="1:16" x14ac:dyDescent="0.25">
      <c r="A233" s="4">
        <v>7390</v>
      </c>
      <c r="B233" s="3" t="s">
        <v>11</v>
      </c>
      <c r="C233" s="3" t="s">
        <v>12</v>
      </c>
      <c r="D233" s="15">
        <v>1419</v>
      </c>
      <c r="E233" s="2">
        <v>5904</v>
      </c>
      <c r="F233" s="2" t="s">
        <v>51</v>
      </c>
      <c r="G233" s="2"/>
      <c r="H233" s="2"/>
      <c r="I233" s="2"/>
      <c r="J233" s="2"/>
      <c r="K233" s="2"/>
      <c r="L233" s="2"/>
      <c r="M233" s="2"/>
      <c r="N233" s="2">
        <f t="shared" si="3"/>
        <v>5904</v>
      </c>
      <c r="O233" s="71">
        <v>1635</v>
      </c>
    </row>
    <row r="234" spans="1:16" x14ac:dyDescent="0.25">
      <c r="A234" s="4">
        <v>7391</v>
      </c>
      <c r="B234" s="3" t="s">
        <v>11</v>
      </c>
      <c r="C234" s="3" t="s">
        <v>12</v>
      </c>
      <c r="D234" s="15">
        <v>1419</v>
      </c>
      <c r="E234" s="2">
        <v>14098</v>
      </c>
      <c r="F234" s="2" t="s">
        <v>51</v>
      </c>
      <c r="G234" s="2"/>
      <c r="H234" s="2"/>
      <c r="I234" s="2"/>
      <c r="J234" s="2"/>
      <c r="K234" s="2"/>
      <c r="L234" s="2"/>
      <c r="M234" s="2"/>
      <c r="N234" s="2">
        <f t="shared" si="3"/>
        <v>14098</v>
      </c>
      <c r="O234" s="71">
        <v>1635</v>
      </c>
    </row>
    <row r="235" spans="1:16" x14ac:dyDescent="0.25">
      <c r="A235" s="4">
        <v>7392</v>
      </c>
      <c r="B235" s="3" t="s">
        <v>11</v>
      </c>
      <c r="C235" s="3" t="s">
        <v>12</v>
      </c>
      <c r="D235" s="15">
        <v>1419</v>
      </c>
      <c r="E235" s="2">
        <v>14098</v>
      </c>
      <c r="F235" s="2" t="s">
        <v>51</v>
      </c>
      <c r="G235" s="2"/>
      <c r="H235" s="2"/>
      <c r="I235" s="2"/>
      <c r="J235" s="2"/>
      <c r="K235" s="2"/>
      <c r="L235" s="2"/>
      <c r="M235" s="2"/>
      <c r="N235" s="2">
        <f t="shared" si="3"/>
        <v>14098</v>
      </c>
      <c r="O235" s="71">
        <v>1635</v>
      </c>
    </row>
    <row r="236" spans="1:16" x14ac:dyDescent="0.25">
      <c r="A236" s="2">
        <v>7393</v>
      </c>
      <c r="B236" s="3" t="s">
        <v>11</v>
      </c>
      <c r="C236" s="3" t="s">
        <v>12</v>
      </c>
      <c r="D236" s="15">
        <v>1419</v>
      </c>
      <c r="E236" s="2">
        <v>82001</v>
      </c>
      <c r="F236" s="2" t="s">
        <v>29</v>
      </c>
      <c r="G236" s="2"/>
      <c r="H236" s="2" t="s">
        <v>27</v>
      </c>
      <c r="I236" s="2" t="s">
        <v>51</v>
      </c>
      <c r="J236" s="2"/>
      <c r="K236" s="2"/>
      <c r="L236" s="2"/>
      <c r="M236" s="2">
        <v>9004</v>
      </c>
      <c r="N236" s="2">
        <f t="shared" si="3"/>
        <v>82001</v>
      </c>
      <c r="O236" s="71">
        <v>1766</v>
      </c>
      <c r="P236" t="s">
        <v>53</v>
      </c>
    </row>
    <row r="237" spans="1:16" x14ac:dyDescent="0.25">
      <c r="A237" s="6">
        <v>7394</v>
      </c>
      <c r="B237" s="3" t="s">
        <v>11</v>
      </c>
      <c r="C237" s="3" t="s">
        <v>12</v>
      </c>
      <c r="D237" s="15">
        <v>1419</v>
      </c>
      <c r="E237" s="2">
        <v>82001</v>
      </c>
      <c r="F237" s="2" t="s">
        <v>29</v>
      </c>
      <c r="G237" s="2"/>
      <c r="H237" s="2" t="s">
        <v>27</v>
      </c>
      <c r="I237" s="2"/>
      <c r="J237" s="2"/>
      <c r="K237" s="2"/>
      <c r="L237" s="2"/>
      <c r="M237" s="2">
        <v>8005</v>
      </c>
      <c r="N237" s="2">
        <f t="shared" si="3"/>
        <v>82001</v>
      </c>
      <c r="O237" s="71">
        <v>1766</v>
      </c>
    </row>
    <row r="238" spans="1:16" x14ac:dyDescent="0.25">
      <c r="A238" s="6">
        <v>7395</v>
      </c>
      <c r="B238" s="3" t="s">
        <v>11</v>
      </c>
      <c r="C238" s="3" t="s">
        <v>12</v>
      </c>
      <c r="D238" s="15">
        <v>1219</v>
      </c>
      <c r="E238" s="2">
        <v>83619</v>
      </c>
      <c r="F238" s="2" t="s">
        <v>29</v>
      </c>
      <c r="G238" s="2"/>
      <c r="H238" s="2" t="s">
        <v>27</v>
      </c>
      <c r="I238" s="2"/>
      <c r="J238" s="2"/>
      <c r="K238" s="2"/>
      <c r="L238" s="2"/>
      <c r="M238" s="2">
        <v>8005</v>
      </c>
      <c r="N238" s="2">
        <f t="shared" si="3"/>
        <v>83619</v>
      </c>
      <c r="O238" s="71">
        <v>1766</v>
      </c>
    </row>
    <row r="239" spans="1:16" x14ac:dyDescent="0.25">
      <c r="A239" s="6">
        <v>7396</v>
      </c>
      <c r="B239" s="3" t="s">
        <v>11</v>
      </c>
      <c r="C239" s="3" t="s">
        <v>12</v>
      </c>
      <c r="D239" s="15">
        <v>1219</v>
      </c>
      <c r="E239" s="2">
        <v>91767</v>
      </c>
      <c r="F239" s="2" t="s">
        <v>28</v>
      </c>
      <c r="G239" s="2"/>
      <c r="H239" s="2" t="s">
        <v>27</v>
      </c>
      <c r="I239" s="2"/>
      <c r="J239" s="2"/>
      <c r="K239" s="2"/>
      <c r="L239" s="2"/>
      <c r="M239" s="2">
        <v>19054</v>
      </c>
      <c r="N239" s="2">
        <f t="shared" si="3"/>
        <v>91767</v>
      </c>
      <c r="O239" s="71">
        <v>1766</v>
      </c>
    </row>
    <row r="240" spans="1:16" x14ac:dyDescent="0.25">
      <c r="A240" s="6">
        <v>7397</v>
      </c>
      <c r="B240" s="3" t="s">
        <v>11</v>
      </c>
      <c r="C240" s="3" t="s">
        <v>12</v>
      </c>
      <c r="D240" s="15">
        <v>1219</v>
      </c>
      <c r="E240" s="2">
        <v>89348</v>
      </c>
      <c r="F240" s="2" t="s">
        <v>29</v>
      </c>
      <c r="G240" s="2"/>
      <c r="H240" s="2" t="s">
        <v>21</v>
      </c>
      <c r="I240" s="2"/>
      <c r="J240" s="2"/>
      <c r="K240" s="2"/>
      <c r="L240" s="2"/>
      <c r="M240" s="2">
        <v>19052</v>
      </c>
      <c r="N240" s="2">
        <f t="shared" si="3"/>
        <v>89348</v>
      </c>
      <c r="O240" s="71">
        <v>1766</v>
      </c>
    </row>
    <row r="241" spans="1:15" x14ac:dyDescent="0.25">
      <c r="A241" s="6">
        <v>7398</v>
      </c>
      <c r="B241" s="3" t="s">
        <v>11</v>
      </c>
      <c r="C241" s="3" t="s">
        <v>12</v>
      </c>
      <c r="D241" s="15">
        <v>1219</v>
      </c>
      <c r="E241" s="2">
        <v>89229</v>
      </c>
      <c r="F241" s="2" t="s">
        <v>29</v>
      </c>
      <c r="G241" s="2"/>
      <c r="H241" s="2" t="s">
        <v>27</v>
      </c>
      <c r="I241" s="2"/>
      <c r="J241" s="2"/>
      <c r="K241" s="2"/>
      <c r="L241" s="2"/>
      <c r="M241" s="7">
        <v>19054</v>
      </c>
      <c r="N241" s="2">
        <f t="shared" si="3"/>
        <v>89229</v>
      </c>
      <c r="O241" s="71">
        <v>1766</v>
      </c>
    </row>
    <row r="242" spans="1:15" x14ac:dyDescent="0.25">
      <c r="A242" s="4">
        <v>7399</v>
      </c>
      <c r="B242" s="3" t="s">
        <v>11</v>
      </c>
      <c r="C242" s="3" t="s">
        <v>12</v>
      </c>
      <c r="D242" s="15">
        <v>1419</v>
      </c>
      <c r="E242" s="2">
        <v>19344</v>
      </c>
      <c r="F242" s="2" t="s">
        <v>51</v>
      </c>
      <c r="G242" s="2"/>
      <c r="H242" s="2"/>
      <c r="I242" s="2"/>
      <c r="J242" s="2"/>
      <c r="K242" s="2"/>
      <c r="L242" s="2"/>
      <c r="M242" s="2"/>
      <c r="N242" s="2">
        <f t="shared" si="3"/>
        <v>19344</v>
      </c>
      <c r="O242" s="71">
        <v>1766</v>
      </c>
    </row>
    <row r="243" spans="1:15" x14ac:dyDescent="0.25">
      <c r="A243" s="4">
        <v>7400</v>
      </c>
      <c r="B243" s="3" t="s">
        <v>11</v>
      </c>
      <c r="C243" s="3" t="s">
        <v>12</v>
      </c>
      <c r="D243" s="15">
        <v>1419</v>
      </c>
      <c r="E243" s="2">
        <v>19344</v>
      </c>
      <c r="F243" s="2" t="s">
        <v>51</v>
      </c>
      <c r="G243" s="2"/>
      <c r="H243" s="2"/>
      <c r="I243" s="2"/>
      <c r="J243" s="2"/>
      <c r="K243" s="2"/>
      <c r="L243" s="2"/>
      <c r="M243" s="2"/>
      <c r="N243" s="2">
        <f t="shared" si="3"/>
        <v>19344</v>
      </c>
      <c r="O243" s="71">
        <v>1766</v>
      </c>
    </row>
    <row r="244" spans="1:15" x14ac:dyDescent="0.25">
      <c r="A244" s="4">
        <v>7431</v>
      </c>
      <c r="B244" s="3" t="s">
        <v>11</v>
      </c>
      <c r="C244" s="3" t="s">
        <v>12</v>
      </c>
      <c r="D244" s="15">
        <v>2219</v>
      </c>
      <c r="E244" s="2">
        <v>23264</v>
      </c>
      <c r="F244" s="2" t="s">
        <v>51</v>
      </c>
      <c r="G244" s="2"/>
      <c r="H244" s="2"/>
      <c r="I244" s="2"/>
      <c r="J244" s="2"/>
      <c r="K244" s="2"/>
      <c r="L244" s="2"/>
      <c r="M244" s="2"/>
      <c r="N244" s="2">
        <f t="shared" si="3"/>
        <v>23264</v>
      </c>
      <c r="O244" s="71">
        <v>1766</v>
      </c>
    </row>
    <row r="245" spans="1:15" x14ac:dyDescent="0.25">
      <c r="A245" s="4">
        <v>7432</v>
      </c>
      <c r="B245" s="3" t="s">
        <v>11</v>
      </c>
      <c r="C245" s="3" t="s">
        <v>12</v>
      </c>
      <c r="D245" s="15">
        <v>2219</v>
      </c>
      <c r="E245" s="2">
        <v>23264</v>
      </c>
      <c r="F245" s="2" t="s">
        <v>51</v>
      </c>
      <c r="G245" s="2"/>
      <c r="H245" s="2"/>
      <c r="I245" s="2"/>
      <c r="J245" s="2"/>
      <c r="K245" s="2"/>
      <c r="L245" s="2"/>
      <c r="M245" s="2"/>
      <c r="N245" s="2">
        <f t="shared" si="3"/>
        <v>23264</v>
      </c>
      <c r="O245" s="71">
        <v>1766</v>
      </c>
    </row>
    <row r="246" spans="1:15" x14ac:dyDescent="0.25">
      <c r="A246" s="6">
        <v>7433</v>
      </c>
      <c r="B246" s="3" t="s">
        <v>11</v>
      </c>
      <c r="C246" s="3" t="s">
        <v>12</v>
      </c>
      <c r="D246" s="15">
        <v>2319</v>
      </c>
      <c r="E246" s="2">
        <v>113354</v>
      </c>
      <c r="F246" s="2" t="s">
        <v>29</v>
      </c>
      <c r="G246" s="2"/>
      <c r="H246" s="2" t="s">
        <v>21</v>
      </c>
      <c r="I246" s="2"/>
      <c r="J246" s="2"/>
      <c r="K246" s="2"/>
      <c r="L246" s="2"/>
      <c r="M246" s="4">
        <v>19060</v>
      </c>
      <c r="N246" s="2">
        <f t="shared" si="3"/>
        <v>113354</v>
      </c>
      <c r="O246" s="71">
        <v>1766</v>
      </c>
    </row>
    <row r="247" spans="1:15" x14ac:dyDescent="0.25">
      <c r="A247" s="6">
        <v>7434</v>
      </c>
      <c r="B247" s="3" t="s">
        <v>11</v>
      </c>
      <c r="C247" s="3" t="s">
        <v>12</v>
      </c>
      <c r="D247" s="15">
        <v>2319</v>
      </c>
      <c r="E247" s="2">
        <v>113354</v>
      </c>
      <c r="F247" s="2" t="s">
        <v>29</v>
      </c>
      <c r="G247" s="2"/>
      <c r="H247" s="2" t="s">
        <v>21</v>
      </c>
      <c r="I247" s="2"/>
      <c r="J247" s="2"/>
      <c r="K247" s="2"/>
      <c r="L247" s="2"/>
      <c r="M247" s="4">
        <v>19060</v>
      </c>
      <c r="N247" s="2">
        <f t="shared" si="3"/>
        <v>113354</v>
      </c>
      <c r="O247" s="71">
        <v>1766</v>
      </c>
    </row>
    <row r="248" spans="1:15" x14ac:dyDescent="0.25">
      <c r="A248" s="6">
        <v>7435</v>
      </c>
      <c r="B248" s="3" t="s">
        <v>11</v>
      </c>
      <c r="C248" s="3" t="s">
        <v>12</v>
      </c>
      <c r="D248" s="15">
        <v>2219</v>
      </c>
      <c r="E248" s="2">
        <v>103513</v>
      </c>
      <c r="F248" s="2" t="s">
        <v>29</v>
      </c>
      <c r="G248" s="2"/>
      <c r="H248" s="2" t="s">
        <v>21</v>
      </c>
      <c r="I248" s="2"/>
      <c r="J248" s="2"/>
      <c r="K248" s="2"/>
      <c r="L248" s="2"/>
      <c r="M248" s="2">
        <v>19060</v>
      </c>
      <c r="N248" s="2">
        <f t="shared" si="3"/>
        <v>103513</v>
      </c>
      <c r="O248" s="71">
        <v>1766</v>
      </c>
    </row>
    <row r="249" spans="1:15" x14ac:dyDescent="0.25">
      <c r="A249" s="6">
        <v>7436</v>
      </c>
      <c r="B249" s="3" t="s">
        <v>11</v>
      </c>
      <c r="C249" s="3" t="s">
        <v>12</v>
      </c>
      <c r="D249" s="15">
        <v>2219</v>
      </c>
      <c r="E249" s="2">
        <v>92478</v>
      </c>
      <c r="F249" s="2" t="s">
        <v>29</v>
      </c>
      <c r="G249" s="2"/>
      <c r="H249" s="2" t="s">
        <v>21</v>
      </c>
      <c r="I249" s="2"/>
      <c r="J249" s="2"/>
      <c r="K249" s="2"/>
      <c r="L249" s="2"/>
      <c r="M249" s="2">
        <v>19052</v>
      </c>
      <c r="N249" s="2">
        <f t="shared" si="3"/>
        <v>92478</v>
      </c>
      <c r="O249" s="71">
        <v>1766</v>
      </c>
    </row>
    <row r="250" spans="1:15" x14ac:dyDescent="0.25">
      <c r="A250" s="2">
        <v>7453</v>
      </c>
      <c r="B250" s="3" t="s">
        <v>13</v>
      </c>
      <c r="C250" s="3" t="s">
        <v>14</v>
      </c>
      <c r="D250" s="15">
        <v>919</v>
      </c>
      <c r="E250" s="2">
        <v>75819</v>
      </c>
      <c r="F250" s="2" t="s">
        <v>29</v>
      </c>
      <c r="G250" s="2">
        <v>46269</v>
      </c>
      <c r="H250" s="2" t="s">
        <v>21</v>
      </c>
      <c r="I250" s="2" t="s">
        <v>28</v>
      </c>
      <c r="J250" s="2"/>
      <c r="K250" s="2"/>
      <c r="L250" s="2"/>
      <c r="M250" s="2" t="s">
        <v>19</v>
      </c>
      <c r="N250" s="2">
        <f t="shared" si="3"/>
        <v>122088</v>
      </c>
      <c r="O250" s="71">
        <v>1766</v>
      </c>
    </row>
    <row r="251" spans="1:15" x14ac:dyDescent="0.25">
      <c r="A251" s="2">
        <v>7454</v>
      </c>
      <c r="B251" s="3" t="s">
        <v>13</v>
      </c>
      <c r="C251" s="3" t="s">
        <v>14</v>
      </c>
      <c r="D251" s="15">
        <v>219</v>
      </c>
      <c r="E251" s="2">
        <v>41688</v>
      </c>
      <c r="F251" s="2" t="s">
        <v>28</v>
      </c>
      <c r="G251" s="2">
        <v>106603</v>
      </c>
      <c r="H251" s="2" t="s">
        <v>21</v>
      </c>
      <c r="I251" s="2" t="s">
        <v>29</v>
      </c>
      <c r="J251" s="2"/>
      <c r="K251" s="2"/>
      <c r="L251" s="2"/>
      <c r="M251" s="17" t="s">
        <v>30</v>
      </c>
      <c r="N251" s="2">
        <f t="shared" si="3"/>
        <v>148291</v>
      </c>
      <c r="O251" s="71">
        <v>1766</v>
      </c>
    </row>
    <row r="252" spans="1:15" x14ac:dyDescent="0.25">
      <c r="A252" s="2">
        <v>7455</v>
      </c>
      <c r="B252" s="3" t="s">
        <v>13</v>
      </c>
      <c r="C252" s="3" t="s">
        <v>14</v>
      </c>
      <c r="D252" s="15">
        <v>619</v>
      </c>
      <c r="E252" s="2">
        <v>91464</v>
      </c>
      <c r="F252" s="2" t="s">
        <v>29</v>
      </c>
      <c r="G252" s="2">
        <v>79507</v>
      </c>
      <c r="H252" s="2" t="s">
        <v>21</v>
      </c>
      <c r="I252" s="2" t="s">
        <v>29</v>
      </c>
      <c r="J252" s="2"/>
      <c r="K252" s="2"/>
      <c r="L252" s="2"/>
      <c r="M252" s="2"/>
      <c r="N252" s="2">
        <f t="shared" si="3"/>
        <v>170971</v>
      </c>
      <c r="O252" s="71">
        <v>1766</v>
      </c>
    </row>
    <row r="253" spans="1:15" x14ac:dyDescent="0.25">
      <c r="A253" s="2">
        <v>7456</v>
      </c>
      <c r="B253" s="3" t="s">
        <v>13</v>
      </c>
      <c r="C253" s="3" t="s">
        <v>14</v>
      </c>
      <c r="D253" s="15">
        <v>919</v>
      </c>
      <c r="E253" s="2">
        <v>91464</v>
      </c>
      <c r="F253" s="2" t="s">
        <v>29</v>
      </c>
      <c r="G253" s="2">
        <v>75504</v>
      </c>
      <c r="H253" s="2" t="s">
        <v>21</v>
      </c>
      <c r="I253" s="2" t="s">
        <v>29</v>
      </c>
      <c r="J253" s="2"/>
      <c r="K253" s="2"/>
      <c r="L253" s="2"/>
      <c r="M253" s="2"/>
      <c r="N253" s="2">
        <f t="shared" si="3"/>
        <v>166968</v>
      </c>
      <c r="O253" s="71">
        <v>1766</v>
      </c>
    </row>
    <row r="254" spans="1:15" x14ac:dyDescent="0.25">
      <c r="A254" s="2">
        <v>7457</v>
      </c>
      <c r="B254" s="3" t="s">
        <v>13</v>
      </c>
      <c r="C254" s="3" t="s">
        <v>14</v>
      </c>
      <c r="D254" s="15">
        <v>919</v>
      </c>
      <c r="E254" s="2">
        <v>91464</v>
      </c>
      <c r="F254" s="2" t="s">
        <v>29</v>
      </c>
      <c r="G254" s="2">
        <v>90147</v>
      </c>
      <c r="H254" s="2" t="s">
        <v>21</v>
      </c>
      <c r="I254" s="2" t="s">
        <v>29</v>
      </c>
      <c r="J254" s="2"/>
      <c r="K254" s="2"/>
      <c r="L254" s="2"/>
      <c r="M254" s="2"/>
      <c r="N254" s="2">
        <f t="shared" si="3"/>
        <v>181611</v>
      </c>
      <c r="O254" s="71">
        <v>1766</v>
      </c>
    </row>
    <row r="255" spans="1:15" x14ac:dyDescent="0.25">
      <c r="A255" s="2">
        <v>7458</v>
      </c>
      <c r="B255" s="3" t="s">
        <v>13</v>
      </c>
      <c r="C255" s="3" t="s">
        <v>14</v>
      </c>
      <c r="D255" s="15">
        <v>919</v>
      </c>
      <c r="E255" s="2">
        <v>91464</v>
      </c>
      <c r="F255" s="2" t="s">
        <v>29</v>
      </c>
      <c r="G255" s="2">
        <v>79507</v>
      </c>
      <c r="H255" s="2" t="s">
        <v>21</v>
      </c>
      <c r="I255" s="2" t="s">
        <v>29</v>
      </c>
      <c r="J255" s="2"/>
      <c r="K255" s="2"/>
      <c r="L255" s="2"/>
      <c r="M255" s="2"/>
      <c r="N255" s="2">
        <f t="shared" si="3"/>
        <v>170971</v>
      </c>
      <c r="O255" s="71">
        <v>1766</v>
      </c>
    </row>
    <row r="256" spans="1:15" x14ac:dyDescent="0.25">
      <c r="A256" s="6">
        <v>7459</v>
      </c>
      <c r="B256" s="3" t="s">
        <v>11</v>
      </c>
      <c r="C256" s="3" t="s">
        <v>12</v>
      </c>
      <c r="D256" s="15">
        <v>1319</v>
      </c>
      <c r="E256" s="2">
        <v>89435</v>
      </c>
      <c r="F256" s="2" t="s">
        <v>29</v>
      </c>
      <c r="G256" s="2"/>
      <c r="H256" s="2" t="s">
        <v>27</v>
      </c>
      <c r="I256" s="2"/>
      <c r="J256" s="2"/>
      <c r="K256" s="2"/>
      <c r="L256" s="2"/>
      <c r="M256" s="2">
        <v>19057</v>
      </c>
      <c r="N256" s="2">
        <f t="shared" si="3"/>
        <v>89435</v>
      </c>
      <c r="O256" s="71">
        <v>1766</v>
      </c>
    </row>
    <row r="257" spans="1:16" x14ac:dyDescent="0.25">
      <c r="A257" s="6">
        <v>7460</v>
      </c>
      <c r="B257" s="3" t="s">
        <v>11</v>
      </c>
      <c r="C257" s="3" t="s">
        <v>12</v>
      </c>
      <c r="D257" s="15">
        <v>1319</v>
      </c>
      <c r="E257" s="2">
        <v>96890</v>
      </c>
      <c r="F257" s="2" t="s">
        <v>29</v>
      </c>
      <c r="G257" s="2"/>
      <c r="H257" s="2" t="s">
        <v>27</v>
      </c>
      <c r="I257" s="2"/>
      <c r="J257" s="2"/>
      <c r="K257" s="2"/>
      <c r="L257" s="2"/>
      <c r="M257" s="2">
        <v>19054</v>
      </c>
      <c r="N257" s="2">
        <f t="shared" si="3"/>
        <v>96890</v>
      </c>
      <c r="O257" s="71">
        <v>1766</v>
      </c>
    </row>
    <row r="258" spans="1:16" x14ac:dyDescent="0.25">
      <c r="A258" s="2">
        <v>7461</v>
      </c>
      <c r="B258" s="3" t="s">
        <v>11</v>
      </c>
      <c r="C258" s="3" t="s">
        <v>12</v>
      </c>
      <c r="D258" s="15">
        <v>1519</v>
      </c>
      <c r="E258" s="2">
        <v>98225</v>
      </c>
      <c r="F258" s="2" t="s">
        <v>29</v>
      </c>
      <c r="G258" s="2">
        <v>96797</v>
      </c>
      <c r="H258" s="2" t="s">
        <v>27</v>
      </c>
      <c r="I258" s="2" t="s">
        <v>28</v>
      </c>
      <c r="J258" s="2"/>
      <c r="K258" s="2"/>
      <c r="L258" s="2"/>
      <c r="M258" s="2" t="s">
        <v>19</v>
      </c>
      <c r="N258" s="2">
        <f t="shared" si="3"/>
        <v>195022</v>
      </c>
      <c r="O258" s="71">
        <v>1766</v>
      </c>
    </row>
    <row r="259" spans="1:16" x14ac:dyDescent="0.25">
      <c r="A259" s="6">
        <v>7462</v>
      </c>
      <c r="B259" s="3" t="s">
        <v>11</v>
      </c>
      <c r="C259" s="3" t="s">
        <v>12</v>
      </c>
      <c r="D259" s="15">
        <v>1319</v>
      </c>
      <c r="E259" s="2">
        <v>85010</v>
      </c>
      <c r="F259" s="2" t="s">
        <v>29</v>
      </c>
      <c r="G259" s="2"/>
      <c r="H259" s="2" t="s">
        <v>27</v>
      </c>
      <c r="I259" s="2"/>
      <c r="J259" s="2"/>
      <c r="K259" s="2"/>
      <c r="L259" s="2"/>
      <c r="M259" s="2">
        <v>19058</v>
      </c>
      <c r="N259" s="2">
        <f t="shared" si="3"/>
        <v>85010</v>
      </c>
      <c r="O259" s="71">
        <v>1766</v>
      </c>
    </row>
    <row r="260" spans="1:16" x14ac:dyDescent="0.25">
      <c r="A260" s="6">
        <v>7463</v>
      </c>
      <c r="B260" s="3" t="s">
        <v>11</v>
      </c>
      <c r="C260" s="3" t="s">
        <v>12</v>
      </c>
      <c r="D260" s="15">
        <v>1319</v>
      </c>
      <c r="E260" s="2">
        <v>98225</v>
      </c>
      <c r="F260" s="2" t="s">
        <v>29</v>
      </c>
      <c r="G260" s="2"/>
      <c r="H260" s="2" t="s">
        <v>27</v>
      </c>
      <c r="I260" s="2"/>
      <c r="J260" s="2"/>
      <c r="K260" s="2"/>
      <c r="L260" s="2"/>
      <c r="M260" s="7">
        <v>19057</v>
      </c>
      <c r="N260" s="2">
        <f t="shared" si="3"/>
        <v>98225</v>
      </c>
      <c r="O260" s="71">
        <v>1766</v>
      </c>
    </row>
    <row r="261" spans="1:16" x14ac:dyDescent="0.25">
      <c r="A261" s="2">
        <v>7464</v>
      </c>
      <c r="B261" s="3" t="s">
        <v>11</v>
      </c>
      <c r="C261" s="3" t="s">
        <v>12</v>
      </c>
      <c r="D261" s="15">
        <v>1319</v>
      </c>
      <c r="E261" s="2">
        <v>88406</v>
      </c>
      <c r="F261" s="2" t="s">
        <v>29</v>
      </c>
      <c r="G261" s="2">
        <v>83446</v>
      </c>
      <c r="H261" s="2" t="s">
        <v>21</v>
      </c>
      <c r="I261" s="2" t="s">
        <v>29</v>
      </c>
      <c r="J261" s="2">
        <v>32906</v>
      </c>
      <c r="K261" s="2" t="s">
        <v>22</v>
      </c>
      <c r="L261" s="2" t="s">
        <v>23</v>
      </c>
      <c r="M261" s="13" t="s">
        <v>19</v>
      </c>
      <c r="N261" s="2">
        <f t="shared" si="3"/>
        <v>204758</v>
      </c>
      <c r="O261" s="71">
        <v>1766</v>
      </c>
    </row>
    <row r="262" spans="1:16" x14ac:dyDescent="0.25">
      <c r="A262" s="6">
        <v>7465</v>
      </c>
      <c r="B262" s="3" t="s">
        <v>5</v>
      </c>
      <c r="C262" s="3" t="s">
        <v>15</v>
      </c>
      <c r="D262" s="15">
        <v>819</v>
      </c>
      <c r="E262" s="2">
        <v>112510</v>
      </c>
      <c r="F262" s="2" t="s">
        <v>29</v>
      </c>
      <c r="G262" s="2"/>
      <c r="H262" s="2" t="s">
        <v>21</v>
      </c>
      <c r="I262" s="2"/>
      <c r="J262" s="2"/>
      <c r="K262" s="2"/>
      <c r="L262" s="2"/>
      <c r="M262" s="7">
        <v>19052</v>
      </c>
      <c r="N262" s="2">
        <f t="shared" ref="N262:N325" si="4">SUM(E262,G262,J262,)</f>
        <v>112510</v>
      </c>
      <c r="O262" s="71">
        <v>1766</v>
      </c>
    </row>
    <row r="263" spans="1:16" x14ac:dyDescent="0.25">
      <c r="A263" s="2">
        <v>7466</v>
      </c>
      <c r="B263" s="3" t="s">
        <v>5</v>
      </c>
      <c r="C263" s="3" t="s">
        <v>15</v>
      </c>
      <c r="D263" s="15">
        <v>719</v>
      </c>
      <c r="E263" s="2">
        <v>91905</v>
      </c>
      <c r="F263" s="2" t="s">
        <v>50</v>
      </c>
      <c r="G263" s="2">
        <v>60511</v>
      </c>
      <c r="H263" s="2" t="s">
        <v>21</v>
      </c>
      <c r="I263" s="2" t="s">
        <v>23</v>
      </c>
      <c r="J263" s="2"/>
      <c r="K263" s="2"/>
      <c r="L263" s="2"/>
      <c r="M263" s="2" t="s">
        <v>19</v>
      </c>
      <c r="N263" s="2">
        <f t="shared" si="4"/>
        <v>152416</v>
      </c>
      <c r="O263" s="71">
        <v>1766</v>
      </c>
    </row>
    <row r="264" spans="1:16" x14ac:dyDescent="0.25">
      <c r="A264" s="2">
        <v>7467</v>
      </c>
      <c r="B264" s="3" t="s">
        <v>5</v>
      </c>
      <c r="C264" s="3" t="s">
        <v>15</v>
      </c>
      <c r="D264" s="15">
        <v>819</v>
      </c>
      <c r="E264" s="2">
        <v>96162</v>
      </c>
      <c r="F264" s="2" t="s">
        <v>29</v>
      </c>
      <c r="G264" s="2">
        <v>67610</v>
      </c>
      <c r="H264" s="2" t="s">
        <v>21</v>
      </c>
      <c r="I264" s="2" t="s">
        <v>29</v>
      </c>
      <c r="J264" s="2">
        <v>36583</v>
      </c>
      <c r="K264" s="2" t="s">
        <v>22</v>
      </c>
      <c r="L264" s="2" t="s">
        <v>35</v>
      </c>
      <c r="M264" s="4" t="s">
        <v>19</v>
      </c>
      <c r="N264" s="2">
        <f t="shared" si="4"/>
        <v>200355</v>
      </c>
      <c r="O264" s="71">
        <v>1766</v>
      </c>
    </row>
    <row r="265" spans="1:16" x14ac:dyDescent="0.25">
      <c r="A265" s="2">
        <v>7468</v>
      </c>
      <c r="B265" s="3" t="s">
        <v>5</v>
      </c>
      <c r="C265" s="3" t="s">
        <v>15</v>
      </c>
      <c r="D265" s="15">
        <v>819</v>
      </c>
      <c r="E265" s="2">
        <v>96162</v>
      </c>
      <c r="F265" s="2" t="s">
        <v>29</v>
      </c>
      <c r="G265" s="2">
        <v>44106</v>
      </c>
      <c r="H265" s="2" t="s">
        <v>21</v>
      </c>
      <c r="I265" s="2" t="s">
        <v>23</v>
      </c>
      <c r="J265" s="2"/>
      <c r="K265" s="2"/>
      <c r="L265" s="2"/>
      <c r="M265" s="2" t="s">
        <v>19</v>
      </c>
      <c r="N265" s="2">
        <f t="shared" si="4"/>
        <v>140268</v>
      </c>
      <c r="O265" s="71">
        <v>1766</v>
      </c>
    </row>
    <row r="266" spans="1:16" x14ac:dyDescent="0.25">
      <c r="A266" s="2">
        <v>7469</v>
      </c>
      <c r="B266" s="3" t="s">
        <v>5</v>
      </c>
      <c r="C266" s="3" t="s">
        <v>15</v>
      </c>
      <c r="D266" s="15">
        <v>819</v>
      </c>
      <c r="E266" s="2">
        <v>96162</v>
      </c>
      <c r="F266" s="2" t="s">
        <v>29</v>
      </c>
      <c r="G266" s="2">
        <v>67722</v>
      </c>
      <c r="H266" s="2" t="s">
        <v>21</v>
      </c>
      <c r="I266" s="2" t="s">
        <v>29</v>
      </c>
      <c r="J266" s="2"/>
      <c r="K266" s="2"/>
      <c r="L266" s="2"/>
      <c r="M266" s="2"/>
      <c r="N266" s="2">
        <f t="shared" si="4"/>
        <v>163884</v>
      </c>
      <c r="O266" s="71">
        <v>1766</v>
      </c>
    </row>
    <row r="267" spans="1:16" x14ac:dyDescent="0.25">
      <c r="A267" s="2">
        <v>7470</v>
      </c>
      <c r="B267" s="3" t="s">
        <v>5</v>
      </c>
      <c r="C267" s="3" t="s">
        <v>15</v>
      </c>
      <c r="D267" s="15">
        <v>1519</v>
      </c>
      <c r="E267" s="2">
        <v>96162</v>
      </c>
      <c r="F267" s="2" t="s">
        <v>29</v>
      </c>
      <c r="G267" s="2"/>
      <c r="H267" s="2"/>
      <c r="I267" s="2"/>
      <c r="J267" s="2"/>
      <c r="K267" s="2"/>
      <c r="L267" s="2"/>
      <c r="M267" s="2" t="s">
        <v>19</v>
      </c>
      <c r="N267" s="2">
        <f t="shared" si="4"/>
        <v>96162</v>
      </c>
      <c r="O267" s="71">
        <v>1766</v>
      </c>
    </row>
    <row r="268" spans="1:16" x14ac:dyDescent="0.25">
      <c r="A268" s="2">
        <v>7471</v>
      </c>
      <c r="B268" s="3" t="s">
        <v>11</v>
      </c>
      <c r="C268" s="3" t="s">
        <v>12</v>
      </c>
      <c r="D268" s="15">
        <v>1319</v>
      </c>
      <c r="E268" s="2">
        <v>93978</v>
      </c>
      <c r="F268" s="2" t="s">
        <v>29</v>
      </c>
      <c r="G268" s="2"/>
      <c r="H268" s="2"/>
      <c r="I268" s="2" t="s">
        <v>51</v>
      </c>
      <c r="J268" s="2"/>
      <c r="K268" s="2"/>
      <c r="L268" s="2"/>
      <c r="M268" s="2">
        <v>103</v>
      </c>
      <c r="N268" s="2">
        <f t="shared" si="4"/>
        <v>93978</v>
      </c>
      <c r="O268" s="71">
        <v>1766</v>
      </c>
      <c r="P268" t="s">
        <v>54</v>
      </c>
    </row>
    <row r="269" spans="1:16" x14ac:dyDescent="0.25">
      <c r="A269" s="2">
        <v>7472</v>
      </c>
      <c r="B269" s="3" t="s">
        <v>11</v>
      </c>
      <c r="C269" s="3" t="s">
        <v>12</v>
      </c>
      <c r="D269" s="15">
        <v>1319</v>
      </c>
      <c r="E269" s="2">
        <f>29694+63816</f>
        <v>93510</v>
      </c>
      <c r="F269" s="2" t="s">
        <v>29</v>
      </c>
      <c r="G269" s="2">
        <v>63816</v>
      </c>
      <c r="H269" s="2" t="s">
        <v>27</v>
      </c>
      <c r="I269" s="2"/>
      <c r="J269" s="2"/>
      <c r="K269" s="2"/>
      <c r="L269" s="2"/>
      <c r="M269" s="7" t="s">
        <v>30</v>
      </c>
      <c r="N269" s="2">
        <f t="shared" si="4"/>
        <v>157326</v>
      </c>
      <c r="O269" s="71">
        <v>1766</v>
      </c>
    </row>
    <row r="270" spans="1:16" x14ac:dyDescent="0.25">
      <c r="A270" s="6">
        <v>7473</v>
      </c>
      <c r="B270" s="3" t="s">
        <v>11</v>
      </c>
      <c r="C270" s="3" t="s">
        <v>12</v>
      </c>
      <c r="D270" s="15">
        <v>1319</v>
      </c>
      <c r="E270" s="2">
        <v>96747</v>
      </c>
      <c r="F270" s="2" t="s">
        <v>29</v>
      </c>
      <c r="G270" s="2"/>
      <c r="H270" s="2" t="s">
        <v>21</v>
      </c>
      <c r="I270" s="2"/>
      <c r="J270" s="2"/>
      <c r="K270" s="2"/>
      <c r="L270" s="2"/>
      <c r="M270" s="7">
        <v>19056</v>
      </c>
      <c r="N270" s="2">
        <f t="shared" si="4"/>
        <v>96747</v>
      </c>
      <c r="O270" s="71">
        <v>1766</v>
      </c>
    </row>
    <row r="271" spans="1:16" x14ac:dyDescent="0.25">
      <c r="A271" s="2">
        <v>7474</v>
      </c>
      <c r="B271" s="3" t="s">
        <v>11</v>
      </c>
      <c r="C271" s="3" t="s">
        <v>12</v>
      </c>
      <c r="D271" s="15">
        <v>1319</v>
      </c>
      <c r="E271" s="2">
        <v>79693</v>
      </c>
      <c r="F271" s="2" t="s">
        <v>29</v>
      </c>
      <c r="G271" s="2">
        <v>83758</v>
      </c>
      <c r="H271" s="2" t="s">
        <v>21</v>
      </c>
      <c r="I271" s="2" t="s">
        <v>29</v>
      </c>
      <c r="J271" s="2"/>
      <c r="K271" s="2" t="s">
        <v>22</v>
      </c>
      <c r="L271" s="2" t="s">
        <v>23</v>
      </c>
      <c r="M271" s="4" t="s">
        <v>19</v>
      </c>
      <c r="N271" s="2">
        <f t="shared" si="4"/>
        <v>163451</v>
      </c>
      <c r="O271" s="71">
        <v>1766</v>
      </c>
    </row>
    <row r="272" spans="1:16" x14ac:dyDescent="0.25">
      <c r="A272" s="4">
        <v>7475</v>
      </c>
      <c r="B272" s="3" t="s">
        <v>11</v>
      </c>
      <c r="C272" s="3" t="s">
        <v>12</v>
      </c>
      <c r="D272" s="15">
        <v>1319</v>
      </c>
      <c r="E272" s="2">
        <v>41081</v>
      </c>
      <c r="F272" s="2" t="s">
        <v>51</v>
      </c>
      <c r="G272" s="2"/>
      <c r="H272" s="2"/>
      <c r="I272" s="2"/>
      <c r="J272" s="2"/>
      <c r="K272" s="2"/>
      <c r="L272" s="2"/>
      <c r="M272" s="2"/>
      <c r="N272" s="2">
        <f t="shared" si="4"/>
        <v>41081</v>
      </c>
      <c r="O272" s="71">
        <v>1766</v>
      </c>
    </row>
    <row r="273" spans="1:16" x14ac:dyDescent="0.25">
      <c r="A273" s="4">
        <v>7476</v>
      </c>
      <c r="B273" s="3" t="s">
        <v>11</v>
      </c>
      <c r="C273" s="3" t="s">
        <v>12</v>
      </c>
      <c r="D273" s="15">
        <v>1319</v>
      </c>
      <c r="E273" s="2">
        <v>41081</v>
      </c>
      <c r="F273" s="2" t="s">
        <v>51</v>
      </c>
      <c r="G273" s="2"/>
      <c r="H273" s="2"/>
      <c r="I273" s="2"/>
      <c r="J273" s="2"/>
      <c r="K273" s="2"/>
      <c r="L273" s="2"/>
      <c r="M273" s="2"/>
      <c r="N273" s="2">
        <f t="shared" si="4"/>
        <v>41081</v>
      </c>
      <c r="O273" s="71">
        <v>1766</v>
      </c>
    </row>
    <row r="274" spans="1:16" x14ac:dyDescent="0.25">
      <c r="A274" s="2">
        <v>7477</v>
      </c>
      <c r="B274" s="3" t="s">
        <v>11</v>
      </c>
      <c r="C274" s="3" t="s">
        <v>12</v>
      </c>
      <c r="D274" s="15">
        <v>1619</v>
      </c>
      <c r="E274" s="2">
        <v>95114</v>
      </c>
      <c r="F274" s="2" t="s">
        <v>29</v>
      </c>
      <c r="G274" s="2">
        <v>84512</v>
      </c>
      <c r="H274" s="2" t="s">
        <v>27</v>
      </c>
      <c r="I274" s="2" t="s">
        <v>23</v>
      </c>
      <c r="J274" s="2"/>
      <c r="K274" s="2"/>
      <c r="L274" s="2"/>
      <c r="M274" s="13" t="s">
        <v>19</v>
      </c>
      <c r="N274" s="2">
        <f t="shared" si="4"/>
        <v>179626</v>
      </c>
      <c r="O274" s="71">
        <v>1766</v>
      </c>
    </row>
    <row r="275" spans="1:16" x14ac:dyDescent="0.25">
      <c r="A275" s="2">
        <v>7478</v>
      </c>
      <c r="B275" s="3" t="s">
        <v>11</v>
      </c>
      <c r="C275" s="3" t="s">
        <v>12</v>
      </c>
      <c r="D275" s="15">
        <v>1519</v>
      </c>
      <c r="E275" s="2">
        <v>95214</v>
      </c>
      <c r="F275" s="2" t="s">
        <v>29</v>
      </c>
      <c r="G275" s="2">
        <v>108108</v>
      </c>
      <c r="H275" s="2" t="s">
        <v>27</v>
      </c>
      <c r="I275" s="2" t="s">
        <v>29</v>
      </c>
      <c r="J275" s="2"/>
      <c r="K275" s="2"/>
      <c r="L275" s="2"/>
      <c r="M275" s="2" t="s">
        <v>26</v>
      </c>
      <c r="N275" s="2">
        <f t="shared" si="4"/>
        <v>203322</v>
      </c>
      <c r="O275" s="71">
        <v>1766</v>
      </c>
    </row>
    <row r="276" spans="1:16" x14ac:dyDescent="0.25">
      <c r="A276" s="2">
        <v>7479</v>
      </c>
      <c r="B276" s="3" t="s">
        <v>11</v>
      </c>
      <c r="C276" s="3" t="s">
        <v>12</v>
      </c>
      <c r="D276" s="15">
        <v>1519</v>
      </c>
      <c r="E276" s="2">
        <v>98277</v>
      </c>
      <c r="F276" s="2" t="s">
        <v>29</v>
      </c>
      <c r="G276" s="2">
        <v>18802</v>
      </c>
      <c r="H276" s="2" t="s">
        <v>27</v>
      </c>
      <c r="I276" s="2" t="s">
        <v>23</v>
      </c>
      <c r="J276" s="2"/>
      <c r="K276" s="2"/>
      <c r="L276" s="2"/>
      <c r="M276" s="2" t="s">
        <v>19</v>
      </c>
      <c r="N276" s="2">
        <f t="shared" si="4"/>
        <v>117079</v>
      </c>
      <c r="O276" s="71">
        <v>1766</v>
      </c>
    </row>
    <row r="277" spans="1:16" x14ac:dyDescent="0.25">
      <c r="A277" s="6">
        <v>7480</v>
      </c>
      <c r="B277" s="3" t="s">
        <v>11</v>
      </c>
      <c r="C277" s="3" t="s">
        <v>12</v>
      </c>
      <c r="D277" s="15">
        <v>1519</v>
      </c>
      <c r="E277" s="2">
        <v>95673</v>
      </c>
      <c r="F277" s="2" t="s">
        <v>29</v>
      </c>
      <c r="G277" s="2"/>
      <c r="H277" s="2" t="s">
        <v>21</v>
      </c>
      <c r="I277" s="2"/>
      <c r="J277" s="2"/>
      <c r="K277" s="2"/>
      <c r="L277" s="2"/>
      <c r="M277" s="2">
        <v>8008</v>
      </c>
      <c r="N277" s="2">
        <f t="shared" si="4"/>
        <v>95673</v>
      </c>
      <c r="O277" s="71">
        <v>1766</v>
      </c>
    </row>
    <row r="278" spans="1:16" x14ac:dyDescent="0.25">
      <c r="A278" s="2">
        <v>7481</v>
      </c>
      <c r="B278" s="3" t="s">
        <v>11</v>
      </c>
      <c r="C278" s="3" t="s">
        <v>12</v>
      </c>
      <c r="D278" s="15">
        <v>1519</v>
      </c>
      <c r="E278" s="2">
        <v>98277</v>
      </c>
      <c r="F278" s="2" t="s">
        <v>29</v>
      </c>
      <c r="G278" s="2">
        <v>123657</v>
      </c>
      <c r="H278" s="2" t="s">
        <v>27</v>
      </c>
      <c r="I278" s="2" t="s">
        <v>29</v>
      </c>
      <c r="J278" s="2"/>
      <c r="K278" s="2" t="s">
        <v>27</v>
      </c>
      <c r="L278" s="2"/>
      <c r="M278" s="7" t="s">
        <v>30</v>
      </c>
      <c r="N278" s="2">
        <f t="shared" si="4"/>
        <v>221934</v>
      </c>
      <c r="O278" s="71">
        <v>1766</v>
      </c>
    </row>
    <row r="279" spans="1:16" x14ac:dyDescent="0.25">
      <c r="A279" s="2">
        <v>7482</v>
      </c>
      <c r="B279" s="3" t="s">
        <v>11</v>
      </c>
      <c r="C279" s="3" t="s">
        <v>12</v>
      </c>
      <c r="D279" s="15">
        <v>1619</v>
      </c>
      <c r="E279" s="2">
        <v>98277</v>
      </c>
      <c r="F279" s="2" t="s">
        <v>29</v>
      </c>
      <c r="G279" s="2">
        <v>120799</v>
      </c>
      <c r="H279" s="2" t="s">
        <v>27</v>
      </c>
      <c r="I279" s="2" t="s">
        <v>29</v>
      </c>
      <c r="J279" s="2"/>
      <c r="K279" s="2"/>
      <c r="L279" s="2"/>
      <c r="M279" s="2" t="s">
        <v>30</v>
      </c>
      <c r="N279" s="2">
        <f t="shared" si="4"/>
        <v>219076</v>
      </c>
      <c r="O279" s="71">
        <v>1766</v>
      </c>
    </row>
    <row r="280" spans="1:16" x14ac:dyDescent="0.25">
      <c r="A280" s="2">
        <v>7483</v>
      </c>
      <c r="B280" s="3" t="s">
        <v>11</v>
      </c>
      <c r="C280" s="3" t="s">
        <v>12</v>
      </c>
      <c r="D280" s="15">
        <v>1319</v>
      </c>
      <c r="E280" s="2">
        <v>110057</v>
      </c>
      <c r="F280" s="2" t="s">
        <v>29</v>
      </c>
      <c r="G280" s="2"/>
      <c r="H280" s="2"/>
      <c r="I280" s="2" t="s">
        <v>51</v>
      </c>
      <c r="J280" s="2"/>
      <c r="K280" s="2"/>
      <c r="L280" s="2"/>
      <c r="M280" s="2">
        <v>9004</v>
      </c>
      <c r="N280" s="2">
        <f t="shared" si="4"/>
        <v>110057</v>
      </c>
      <c r="O280" s="71">
        <v>1766</v>
      </c>
      <c r="P280" t="s">
        <v>53</v>
      </c>
    </row>
    <row r="281" spans="1:16" x14ac:dyDescent="0.25">
      <c r="A281" s="4">
        <v>7484</v>
      </c>
      <c r="B281" s="3" t="s">
        <v>11</v>
      </c>
      <c r="C281" s="3" t="s">
        <v>12</v>
      </c>
      <c r="D281" s="15">
        <v>1319</v>
      </c>
      <c r="E281" s="2">
        <v>13224</v>
      </c>
      <c r="F281" s="2" t="s">
        <v>51</v>
      </c>
      <c r="G281" s="2">
        <v>19929</v>
      </c>
      <c r="H281" s="2" t="s">
        <v>27</v>
      </c>
      <c r="I281" s="2"/>
      <c r="J281" s="2"/>
      <c r="K281" s="2"/>
      <c r="L281" s="2"/>
      <c r="M281" s="2"/>
      <c r="N281" s="2">
        <f t="shared" si="4"/>
        <v>33153</v>
      </c>
      <c r="O281" s="71">
        <v>1766</v>
      </c>
    </row>
    <row r="282" spans="1:16" x14ac:dyDescent="0.25">
      <c r="A282" s="2">
        <v>7485</v>
      </c>
      <c r="B282" s="3" t="s">
        <v>11</v>
      </c>
      <c r="C282" s="3" t="s">
        <v>12</v>
      </c>
      <c r="D282" s="15">
        <v>1319</v>
      </c>
      <c r="E282" s="2">
        <v>109605</v>
      </c>
      <c r="F282" s="2" t="s">
        <v>29</v>
      </c>
      <c r="G282" s="2"/>
      <c r="H282" s="2" t="s">
        <v>27</v>
      </c>
      <c r="I282" s="2" t="s">
        <v>51</v>
      </c>
      <c r="J282" s="2"/>
      <c r="K282" s="2"/>
      <c r="L282" s="2"/>
      <c r="M282" s="2">
        <v>9004</v>
      </c>
      <c r="N282" s="2">
        <f t="shared" si="4"/>
        <v>109605</v>
      </c>
      <c r="O282" s="71">
        <v>1766</v>
      </c>
      <c r="P282" t="s">
        <v>53</v>
      </c>
    </row>
    <row r="283" spans="1:16" x14ac:dyDescent="0.25">
      <c r="A283" s="6">
        <v>7486</v>
      </c>
      <c r="B283" s="3" t="s">
        <v>11</v>
      </c>
      <c r="C283" s="3" t="s">
        <v>12</v>
      </c>
      <c r="D283" s="15">
        <v>1319</v>
      </c>
      <c r="E283" s="2">
        <v>99035</v>
      </c>
      <c r="F283" s="2" t="s">
        <v>29</v>
      </c>
      <c r="G283" s="2"/>
      <c r="H283" s="2" t="s">
        <v>27</v>
      </c>
      <c r="I283" s="2"/>
      <c r="J283" s="2"/>
      <c r="K283" s="2"/>
      <c r="L283" s="2"/>
      <c r="M283" s="2">
        <v>19057</v>
      </c>
      <c r="N283" s="2">
        <f t="shared" si="4"/>
        <v>99035</v>
      </c>
      <c r="O283" s="71">
        <v>1766</v>
      </c>
    </row>
    <row r="284" spans="1:16" x14ac:dyDescent="0.25">
      <c r="A284" s="2">
        <v>7487</v>
      </c>
      <c r="B284" s="3" t="s">
        <v>11</v>
      </c>
      <c r="C284" s="3" t="s">
        <v>12</v>
      </c>
      <c r="D284" s="15">
        <v>1319</v>
      </c>
      <c r="E284" s="2">
        <v>99035</v>
      </c>
      <c r="F284" s="2" t="s">
        <v>29</v>
      </c>
      <c r="G284" s="2"/>
      <c r="H284" s="2"/>
      <c r="I284" s="2" t="s">
        <v>23</v>
      </c>
      <c r="J284" s="2"/>
      <c r="K284" s="2"/>
      <c r="L284" s="2"/>
      <c r="M284" s="2" t="s">
        <v>19</v>
      </c>
      <c r="N284" s="2">
        <f t="shared" si="4"/>
        <v>99035</v>
      </c>
      <c r="O284" s="71">
        <v>1766</v>
      </c>
    </row>
    <row r="285" spans="1:16" x14ac:dyDescent="0.25">
      <c r="A285" s="2">
        <v>7488</v>
      </c>
      <c r="B285" s="3" t="s">
        <v>11</v>
      </c>
      <c r="C285" s="3" t="s">
        <v>12</v>
      </c>
      <c r="D285" s="15">
        <v>1319</v>
      </c>
      <c r="E285" s="2">
        <v>99035</v>
      </c>
      <c r="F285" s="2" t="s">
        <v>29</v>
      </c>
      <c r="G285" s="2">
        <v>97512</v>
      </c>
      <c r="H285" s="2" t="s">
        <v>27</v>
      </c>
      <c r="I285" s="2" t="s">
        <v>50</v>
      </c>
      <c r="J285" s="2"/>
      <c r="K285" s="2"/>
      <c r="L285" s="2"/>
      <c r="M285" s="67" t="s">
        <v>30</v>
      </c>
      <c r="N285" s="2">
        <f t="shared" si="4"/>
        <v>196547</v>
      </c>
      <c r="O285" s="71">
        <v>1766</v>
      </c>
    </row>
    <row r="286" spans="1:16" x14ac:dyDescent="0.25">
      <c r="A286" s="4">
        <v>7489</v>
      </c>
      <c r="B286" s="3" t="s">
        <v>11</v>
      </c>
      <c r="C286" s="3" t="s">
        <v>12</v>
      </c>
      <c r="D286" s="15">
        <v>1319</v>
      </c>
      <c r="E286" s="2">
        <v>21595</v>
      </c>
      <c r="F286" s="2" t="s">
        <v>51</v>
      </c>
      <c r="G286" s="2">
        <v>32467</v>
      </c>
      <c r="H286" s="2" t="s">
        <v>27</v>
      </c>
      <c r="I286" s="2"/>
      <c r="J286" s="2"/>
      <c r="K286" s="2"/>
      <c r="L286" s="2"/>
      <c r="M286" s="2"/>
      <c r="N286" s="2">
        <f t="shared" si="4"/>
        <v>54062</v>
      </c>
      <c r="O286" s="71">
        <v>1766</v>
      </c>
    </row>
    <row r="287" spans="1:16" x14ac:dyDescent="0.25">
      <c r="A287" s="4">
        <v>7490</v>
      </c>
      <c r="B287" s="3" t="s">
        <v>11</v>
      </c>
      <c r="C287" s="3" t="s">
        <v>12</v>
      </c>
      <c r="D287" s="15">
        <v>1319</v>
      </c>
      <c r="E287" s="2">
        <v>26649</v>
      </c>
      <c r="F287" s="2" t="s">
        <v>51</v>
      </c>
      <c r="G287" s="2">
        <v>19275</v>
      </c>
      <c r="H287" s="2" t="s">
        <v>27</v>
      </c>
      <c r="I287" s="2"/>
      <c r="J287" s="2"/>
      <c r="K287" s="2"/>
      <c r="L287" s="2"/>
      <c r="M287" s="2"/>
      <c r="N287" s="2">
        <f t="shared" si="4"/>
        <v>45924</v>
      </c>
      <c r="O287" s="71">
        <v>1766</v>
      </c>
    </row>
    <row r="288" spans="1:16" x14ac:dyDescent="0.25">
      <c r="A288" s="6">
        <v>7491</v>
      </c>
      <c r="B288" s="3" t="s">
        <v>11</v>
      </c>
      <c r="C288" s="3" t="s">
        <v>12</v>
      </c>
      <c r="D288" s="15">
        <v>1319</v>
      </c>
      <c r="E288" s="2">
        <v>104079</v>
      </c>
      <c r="F288" s="2" t="s">
        <v>29</v>
      </c>
      <c r="G288" s="2"/>
      <c r="H288" s="2" t="s">
        <v>27</v>
      </c>
      <c r="I288" s="2"/>
      <c r="J288" s="2"/>
      <c r="K288" s="2"/>
      <c r="L288" s="2"/>
      <c r="M288" s="2">
        <v>8002</v>
      </c>
      <c r="N288" s="2">
        <f t="shared" si="4"/>
        <v>104079</v>
      </c>
      <c r="O288" s="71">
        <v>1766</v>
      </c>
    </row>
    <row r="289" spans="1:15" x14ac:dyDescent="0.25">
      <c r="A289" s="6">
        <v>7492</v>
      </c>
      <c r="B289" s="3" t="s">
        <v>11</v>
      </c>
      <c r="C289" s="3" t="s">
        <v>12</v>
      </c>
      <c r="D289" s="15">
        <v>1319</v>
      </c>
      <c r="E289" s="2">
        <v>95515</v>
      </c>
      <c r="F289" s="2" t="s">
        <v>29</v>
      </c>
      <c r="G289" s="2"/>
      <c r="H289" s="2" t="s">
        <v>27</v>
      </c>
      <c r="I289" s="2"/>
      <c r="J289" s="2"/>
      <c r="K289" s="2"/>
      <c r="L289" s="2"/>
      <c r="M289" s="2">
        <v>8002</v>
      </c>
      <c r="N289" s="2">
        <f t="shared" si="4"/>
        <v>95515</v>
      </c>
      <c r="O289" s="71">
        <v>1766</v>
      </c>
    </row>
    <row r="290" spans="1:15" x14ac:dyDescent="0.25">
      <c r="A290" s="4">
        <v>7493</v>
      </c>
      <c r="B290" s="3" t="s">
        <v>11</v>
      </c>
      <c r="C290" s="3" t="s">
        <v>12</v>
      </c>
      <c r="D290" s="15">
        <v>1319</v>
      </c>
      <c r="E290" s="2">
        <v>37475</v>
      </c>
      <c r="F290" s="2" t="s">
        <v>51</v>
      </c>
      <c r="G290" s="2"/>
      <c r="H290" s="2"/>
      <c r="I290" s="2"/>
      <c r="J290" s="2"/>
      <c r="K290" s="2"/>
      <c r="L290" s="2"/>
      <c r="M290" s="2"/>
      <c r="N290" s="2">
        <f t="shared" si="4"/>
        <v>37475</v>
      </c>
      <c r="O290" s="71">
        <v>1766</v>
      </c>
    </row>
    <row r="291" spans="1:15" x14ac:dyDescent="0.25">
      <c r="A291" s="4">
        <v>7494</v>
      </c>
      <c r="B291" s="3" t="s">
        <v>11</v>
      </c>
      <c r="C291" s="3" t="s">
        <v>12</v>
      </c>
      <c r="D291" s="15">
        <v>1319</v>
      </c>
      <c r="E291" s="2">
        <v>37475</v>
      </c>
      <c r="F291" s="2" t="s">
        <v>51</v>
      </c>
      <c r="G291" s="2"/>
      <c r="H291" s="2"/>
      <c r="I291" s="2"/>
      <c r="J291" s="2"/>
      <c r="K291" s="2"/>
      <c r="L291" s="2"/>
      <c r="M291" s="2"/>
      <c r="N291" s="2">
        <f t="shared" si="4"/>
        <v>37475</v>
      </c>
      <c r="O291" s="71">
        <v>1766</v>
      </c>
    </row>
    <row r="292" spans="1:15" x14ac:dyDescent="0.25">
      <c r="A292" s="2">
        <v>7495</v>
      </c>
      <c r="B292" s="3" t="s">
        <v>11</v>
      </c>
      <c r="C292" s="3" t="s">
        <v>12</v>
      </c>
      <c r="D292" s="15">
        <v>1319</v>
      </c>
      <c r="E292" s="2">
        <v>99602</v>
      </c>
      <c r="F292" s="2" t="s">
        <v>29</v>
      </c>
      <c r="G292" s="2">
        <v>71606</v>
      </c>
      <c r="H292" s="2" t="s">
        <v>27</v>
      </c>
      <c r="I292" s="2" t="s">
        <v>28</v>
      </c>
      <c r="J292" s="2"/>
      <c r="K292" s="2"/>
      <c r="L292" s="2"/>
      <c r="M292" s="2" t="s">
        <v>19</v>
      </c>
      <c r="N292" s="2">
        <f t="shared" si="4"/>
        <v>171208</v>
      </c>
      <c r="O292" s="71">
        <v>1766</v>
      </c>
    </row>
    <row r="293" spans="1:15" x14ac:dyDescent="0.25">
      <c r="A293" s="6">
        <v>7496</v>
      </c>
      <c r="B293" s="3" t="s">
        <v>11</v>
      </c>
      <c r="C293" s="3" t="s">
        <v>12</v>
      </c>
      <c r="D293" s="15">
        <v>1319</v>
      </c>
      <c r="E293" s="2">
        <v>111506</v>
      </c>
      <c r="F293" s="2" t="s">
        <v>29</v>
      </c>
      <c r="G293" s="2"/>
      <c r="H293" s="2" t="s">
        <v>27</v>
      </c>
      <c r="I293" s="2"/>
      <c r="J293" s="2"/>
      <c r="K293" s="2"/>
      <c r="L293" s="2"/>
      <c r="M293" s="2">
        <v>8002</v>
      </c>
      <c r="N293" s="2">
        <f t="shared" si="4"/>
        <v>111506</v>
      </c>
      <c r="O293" s="71">
        <v>1766</v>
      </c>
    </row>
    <row r="294" spans="1:15" x14ac:dyDescent="0.25">
      <c r="A294" s="2">
        <v>7497</v>
      </c>
      <c r="B294" s="3" t="s">
        <v>11</v>
      </c>
      <c r="C294" s="3" t="s">
        <v>12</v>
      </c>
      <c r="D294" s="15">
        <v>1319</v>
      </c>
      <c r="E294" s="2">
        <v>76347</v>
      </c>
      <c r="F294" s="2" t="s">
        <v>29</v>
      </c>
      <c r="G294" s="2">
        <v>123294</v>
      </c>
      <c r="H294" s="2" t="s">
        <v>27</v>
      </c>
      <c r="I294" s="2" t="s">
        <v>29</v>
      </c>
      <c r="J294" s="2">
        <v>10419</v>
      </c>
      <c r="K294" s="2" t="s">
        <v>21</v>
      </c>
      <c r="L294" s="2" t="s">
        <v>35</v>
      </c>
      <c r="M294" s="18" t="s">
        <v>19</v>
      </c>
      <c r="N294" s="2">
        <f t="shared" si="4"/>
        <v>210060</v>
      </c>
      <c r="O294" s="71">
        <v>1766</v>
      </c>
    </row>
    <row r="295" spans="1:15" x14ac:dyDescent="0.25">
      <c r="A295" s="2">
        <v>7498</v>
      </c>
      <c r="B295" s="3" t="s">
        <v>11</v>
      </c>
      <c r="C295" s="3" t="s">
        <v>12</v>
      </c>
      <c r="D295" s="15">
        <v>1319</v>
      </c>
      <c r="E295" s="2">
        <v>119645</v>
      </c>
      <c r="F295" s="2" t="s">
        <v>29</v>
      </c>
      <c r="G295" s="2">
        <v>98331</v>
      </c>
      <c r="H295" s="2" t="s">
        <v>27</v>
      </c>
      <c r="I295" s="2" t="s">
        <v>23</v>
      </c>
      <c r="J295" s="2"/>
      <c r="K295" s="2"/>
      <c r="L295" s="2"/>
      <c r="M295" s="2" t="s">
        <v>19</v>
      </c>
      <c r="N295" s="2">
        <f t="shared" si="4"/>
        <v>217976</v>
      </c>
      <c r="O295" s="71">
        <v>1766</v>
      </c>
    </row>
    <row r="296" spans="1:15" x14ac:dyDescent="0.25">
      <c r="A296" s="6">
        <v>7499</v>
      </c>
      <c r="B296" s="3" t="s">
        <v>11</v>
      </c>
      <c r="C296" s="3" t="s">
        <v>12</v>
      </c>
      <c r="D296" s="15">
        <v>1319</v>
      </c>
      <c r="E296" s="2">
        <v>115892</v>
      </c>
      <c r="F296" s="2" t="s">
        <v>29</v>
      </c>
      <c r="G296" s="2"/>
      <c r="H296" s="2" t="s">
        <v>12</v>
      </c>
      <c r="I296" s="2"/>
      <c r="J296" s="2"/>
      <c r="K296" s="2"/>
      <c r="L296" s="2"/>
      <c r="M296" s="7">
        <v>19055</v>
      </c>
      <c r="N296" s="2">
        <f t="shared" si="4"/>
        <v>115892</v>
      </c>
      <c r="O296" s="71">
        <v>1766</v>
      </c>
    </row>
    <row r="297" spans="1:15" x14ac:dyDescent="0.25">
      <c r="A297" s="2">
        <v>7500</v>
      </c>
      <c r="B297" s="3" t="s">
        <v>11</v>
      </c>
      <c r="C297" s="3" t="s">
        <v>12</v>
      </c>
      <c r="D297" s="15">
        <v>1319</v>
      </c>
      <c r="E297" s="2">
        <v>98081</v>
      </c>
      <c r="F297" s="2" t="s">
        <v>29</v>
      </c>
      <c r="G297" s="2">
        <v>87911</v>
      </c>
      <c r="H297" s="2" t="s">
        <v>27</v>
      </c>
      <c r="I297" s="2" t="s">
        <v>28</v>
      </c>
      <c r="J297" s="2"/>
      <c r="K297" s="2"/>
      <c r="L297" s="2"/>
      <c r="M297" s="2" t="s">
        <v>45</v>
      </c>
      <c r="N297" s="2">
        <f t="shared" si="4"/>
        <v>185992</v>
      </c>
      <c r="O297" s="71">
        <v>1766</v>
      </c>
    </row>
    <row r="298" spans="1:15" x14ac:dyDescent="0.25">
      <c r="A298" s="4">
        <v>7501</v>
      </c>
      <c r="B298" s="3" t="s">
        <v>11</v>
      </c>
      <c r="C298" s="3" t="s">
        <v>12</v>
      </c>
      <c r="D298" s="15">
        <v>1319</v>
      </c>
      <c r="E298" s="2">
        <v>59816</v>
      </c>
      <c r="F298" s="2" t="s">
        <v>51</v>
      </c>
      <c r="G298" s="2"/>
      <c r="H298" s="2"/>
      <c r="I298" s="2"/>
      <c r="J298" s="2"/>
      <c r="K298" s="2"/>
      <c r="L298" s="2"/>
      <c r="M298" s="2"/>
      <c r="N298" s="2">
        <f t="shared" si="4"/>
        <v>59816</v>
      </c>
      <c r="O298" s="71">
        <v>1766</v>
      </c>
    </row>
    <row r="299" spans="1:15" x14ac:dyDescent="0.25">
      <c r="A299" s="4">
        <v>7502</v>
      </c>
      <c r="B299" s="3" t="s">
        <v>11</v>
      </c>
      <c r="C299" s="3" t="s">
        <v>12</v>
      </c>
      <c r="D299" s="15">
        <v>1319</v>
      </c>
      <c r="E299" s="2">
        <v>59816</v>
      </c>
      <c r="F299" s="2" t="s">
        <v>51</v>
      </c>
      <c r="G299" s="2"/>
      <c r="H299" s="2"/>
      <c r="I299" s="2"/>
      <c r="J299" s="2"/>
      <c r="K299" s="2"/>
      <c r="L299" s="2"/>
      <c r="M299" s="2"/>
      <c r="N299" s="2">
        <f t="shared" si="4"/>
        <v>59816</v>
      </c>
      <c r="O299" s="71">
        <v>1766</v>
      </c>
    </row>
    <row r="300" spans="1:15" x14ac:dyDescent="0.25">
      <c r="A300" s="6">
        <v>7503</v>
      </c>
      <c r="B300" s="3" t="s">
        <v>11</v>
      </c>
      <c r="C300" s="3" t="s">
        <v>12</v>
      </c>
      <c r="D300" s="15">
        <v>1319</v>
      </c>
      <c r="E300" s="2">
        <v>103837</v>
      </c>
      <c r="F300" s="2" t="s">
        <v>29</v>
      </c>
      <c r="G300" s="2"/>
      <c r="H300" s="2" t="s">
        <v>21</v>
      </c>
      <c r="I300" s="2"/>
      <c r="J300" s="2"/>
      <c r="K300" s="2"/>
      <c r="L300" s="2"/>
      <c r="M300" s="12">
        <v>8008</v>
      </c>
      <c r="N300" s="2">
        <f t="shared" si="4"/>
        <v>103837</v>
      </c>
      <c r="O300" s="71">
        <v>1766</v>
      </c>
    </row>
    <row r="301" spans="1:15" x14ac:dyDescent="0.25">
      <c r="A301" s="6">
        <v>7504</v>
      </c>
      <c r="B301" s="3" t="s">
        <v>11</v>
      </c>
      <c r="C301" s="3" t="s">
        <v>12</v>
      </c>
      <c r="D301" s="15">
        <v>1319</v>
      </c>
      <c r="E301" s="2">
        <v>98750</v>
      </c>
      <c r="F301" s="2" t="s">
        <v>29</v>
      </c>
      <c r="G301" s="2"/>
      <c r="H301" s="2" t="s">
        <v>21</v>
      </c>
      <c r="I301" s="2"/>
      <c r="J301" s="2"/>
      <c r="K301" s="2"/>
      <c r="L301" s="2"/>
      <c r="M301" s="12">
        <v>8008</v>
      </c>
      <c r="N301" s="2">
        <f t="shared" si="4"/>
        <v>98750</v>
      </c>
      <c r="O301" s="71">
        <v>1766</v>
      </c>
    </row>
    <row r="302" spans="1:15" x14ac:dyDescent="0.25">
      <c r="A302" s="6">
        <v>7505</v>
      </c>
      <c r="B302" s="3" t="s">
        <v>11</v>
      </c>
      <c r="C302" s="3" t="s">
        <v>12</v>
      </c>
      <c r="D302" s="15">
        <v>1319</v>
      </c>
      <c r="E302" s="2">
        <v>92472</v>
      </c>
      <c r="F302" s="2" t="s">
        <v>29</v>
      </c>
      <c r="G302" s="2"/>
      <c r="H302" s="2" t="s">
        <v>12</v>
      </c>
      <c r="I302" s="2"/>
      <c r="J302" s="2"/>
      <c r="K302" s="2"/>
      <c r="L302" s="2"/>
      <c r="M302" s="2">
        <v>8005</v>
      </c>
      <c r="N302" s="2">
        <f t="shared" si="4"/>
        <v>92472</v>
      </c>
      <c r="O302" s="71">
        <v>1766</v>
      </c>
    </row>
    <row r="303" spans="1:15" x14ac:dyDescent="0.25">
      <c r="A303" s="6">
        <v>7506</v>
      </c>
      <c r="B303" s="3" t="s">
        <v>11</v>
      </c>
      <c r="C303" s="3" t="s">
        <v>12</v>
      </c>
      <c r="D303" s="15">
        <v>1319</v>
      </c>
      <c r="E303" s="2">
        <v>100252</v>
      </c>
      <c r="F303" s="2" t="s">
        <v>29</v>
      </c>
      <c r="G303" s="2"/>
      <c r="H303" s="2" t="s">
        <v>12</v>
      </c>
      <c r="I303" s="2"/>
      <c r="J303" s="2"/>
      <c r="K303" s="2"/>
      <c r="L303" s="2"/>
      <c r="M303" s="2">
        <v>8005</v>
      </c>
      <c r="N303" s="2">
        <f t="shared" si="4"/>
        <v>100252</v>
      </c>
      <c r="O303" s="71">
        <v>1766</v>
      </c>
    </row>
    <row r="304" spans="1:15" x14ac:dyDescent="0.25">
      <c r="A304" s="6">
        <v>7507</v>
      </c>
      <c r="B304" s="3" t="s">
        <v>5</v>
      </c>
      <c r="C304" s="3" t="s">
        <v>15</v>
      </c>
      <c r="D304" s="15">
        <v>1619</v>
      </c>
      <c r="E304" s="2">
        <v>93985</v>
      </c>
      <c r="F304" s="2" t="s">
        <v>29</v>
      </c>
      <c r="G304" s="2"/>
      <c r="H304" s="2" t="s">
        <v>21</v>
      </c>
      <c r="I304" s="2"/>
      <c r="J304" s="2"/>
      <c r="K304" s="2"/>
      <c r="L304" s="2"/>
      <c r="M304" s="7">
        <v>8006</v>
      </c>
      <c r="N304" s="2">
        <f t="shared" si="4"/>
        <v>93985</v>
      </c>
      <c r="O304" s="71">
        <v>1766</v>
      </c>
    </row>
    <row r="305" spans="1:15" x14ac:dyDescent="0.25">
      <c r="A305" s="6">
        <v>7508</v>
      </c>
      <c r="B305" s="3" t="s">
        <v>5</v>
      </c>
      <c r="C305" s="3" t="s">
        <v>15</v>
      </c>
      <c r="D305" s="15">
        <v>1619</v>
      </c>
      <c r="E305" s="2">
        <v>93985</v>
      </c>
      <c r="F305" s="2" t="s">
        <v>29</v>
      </c>
      <c r="G305" s="2"/>
      <c r="H305" s="2" t="s">
        <v>21</v>
      </c>
      <c r="I305" s="2"/>
      <c r="J305" s="2"/>
      <c r="K305" s="2"/>
      <c r="L305" s="2"/>
      <c r="M305" s="7">
        <v>8006</v>
      </c>
      <c r="N305" s="2">
        <f t="shared" si="4"/>
        <v>93985</v>
      </c>
      <c r="O305" s="71">
        <v>1766</v>
      </c>
    </row>
    <row r="306" spans="1:15" x14ac:dyDescent="0.25">
      <c r="A306" s="2">
        <v>7509</v>
      </c>
      <c r="B306" s="3" t="s">
        <v>5</v>
      </c>
      <c r="C306" s="3" t="s">
        <v>15</v>
      </c>
      <c r="D306" s="15">
        <v>1619</v>
      </c>
      <c r="E306" s="2">
        <v>108715</v>
      </c>
      <c r="F306" s="2" t="s">
        <v>29</v>
      </c>
      <c r="G306" s="2">
        <v>10529</v>
      </c>
      <c r="H306" s="2" t="s">
        <v>21</v>
      </c>
      <c r="I306" s="2" t="s">
        <v>28</v>
      </c>
      <c r="J306" s="2"/>
      <c r="K306" s="2"/>
      <c r="L306" s="2"/>
      <c r="M306" s="2" t="s">
        <v>19</v>
      </c>
      <c r="N306" s="2">
        <f t="shared" si="4"/>
        <v>119244</v>
      </c>
      <c r="O306" s="71">
        <v>1766</v>
      </c>
    </row>
    <row r="307" spans="1:15" x14ac:dyDescent="0.25">
      <c r="A307" s="6">
        <v>7510</v>
      </c>
      <c r="B307" s="3" t="s">
        <v>5</v>
      </c>
      <c r="C307" s="3" t="s">
        <v>15</v>
      </c>
      <c r="D307" s="15">
        <v>1619</v>
      </c>
      <c r="E307" s="2">
        <v>108715</v>
      </c>
      <c r="F307" s="2" t="s">
        <v>29</v>
      </c>
      <c r="G307" s="2"/>
      <c r="H307" s="2" t="s">
        <v>21</v>
      </c>
      <c r="I307" s="2"/>
      <c r="J307" s="2"/>
      <c r="K307" s="2"/>
      <c r="L307" s="2"/>
      <c r="M307" s="7">
        <v>8006</v>
      </c>
      <c r="N307" s="2">
        <f t="shared" si="4"/>
        <v>108715</v>
      </c>
      <c r="O307" s="71">
        <v>1766</v>
      </c>
    </row>
    <row r="308" spans="1:15" x14ac:dyDescent="0.25">
      <c r="A308" s="6">
        <v>7511</v>
      </c>
      <c r="B308" s="3" t="s">
        <v>5</v>
      </c>
      <c r="C308" s="3" t="s">
        <v>15</v>
      </c>
      <c r="D308" s="15">
        <v>1619</v>
      </c>
      <c r="E308" s="2">
        <v>87953</v>
      </c>
      <c r="F308" s="2" t="s">
        <v>29</v>
      </c>
      <c r="G308" s="2">
        <v>73118</v>
      </c>
      <c r="H308" s="2" t="s">
        <v>21</v>
      </c>
      <c r="I308" s="2" t="s">
        <v>29</v>
      </c>
      <c r="J308" s="2"/>
      <c r="K308" s="2" t="s">
        <v>22</v>
      </c>
      <c r="L308" s="2"/>
      <c r="M308" s="7">
        <v>19053</v>
      </c>
      <c r="N308" s="2">
        <f t="shared" si="4"/>
        <v>161071</v>
      </c>
      <c r="O308" s="71">
        <v>1766</v>
      </c>
    </row>
    <row r="309" spans="1:15" x14ac:dyDescent="0.25">
      <c r="A309" s="2">
        <v>7512</v>
      </c>
      <c r="B309" s="3" t="s">
        <v>5</v>
      </c>
      <c r="C309" s="3" t="s">
        <v>15</v>
      </c>
      <c r="D309" s="15">
        <v>1619</v>
      </c>
      <c r="E309" s="2">
        <v>87953</v>
      </c>
      <c r="F309" s="2" t="s">
        <v>29</v>
      </c>
      <c r="G309" s="2">
        <v>13588</v>
      </c>
      <c r="H309" s="2" t="s">
        <v>21</v>
      </c>
      <c r="I309" s="2" t="s">
        <v>23</v>
      </c>
      <c r="J309" s="2"/>
      <c r="K309" s="2"/>
      <c r="L309" s="2"/>
      <c r="M309" s="2" t="s">
        <v>19</v>
      </c>
      <c r="N309" s="2">
        <f t="shared" si="4"/>
        <v>101541</v>
      </c>
      <c r="O309" s="71">
        <v>1766</v>
      </c>
    </row>
    <row r="310" spans="1:15" x14ac:dyDescent="0.25">
      <c r="A310" s="2">
        <v>7583</v>
      </c>
      <c r="B310" s="3" t="s">
        <v>16</v>
      </c>
      <c r="C310" s="3" t="s">
        <v>17</v>
      </c>
      <c r="D310" s="15">
        <v>3419</v>
      </c>
      <c r="E310" s="2">
        <v>36368</v>
      </c>
      <c r="F310" s="2" t="s">
        <v>50</v>
      </c>
      <c r="G310" s="2">
        <v>67453</v>
      </c>
      <c r="H310" s="2" t="s">
        <v>21</v>
      </c>
      <c r="I310" s="2" t="s">
        <v>29</v>
      </c>
      <c r="J310" s="2"/>
      <c r="K310" s="2"/>
      <c r="L310" s="2" t="s">
        <v>23</v>
      </c>
      <c r="M310" s="11" t="s">
        <v>19</v>
      </c>
      <c r="N310" s="2">
        <f t="shared" si="4"/>
        <v>103821</v>
      </c>
      <c r="O310" s="71">
        <v>1454</v>
      </c>
    </row>
    <row r="311" spans="1:15" x14ac:dyDescent="0.25">
      <c r="A311" s="2">
        <v>7584</v>
      </c>
      <c r="B311" s="3" t="s">
        <v>16</v>
      </c>
      <c r="C311" s="3" t="s">
        <v>17</v>
      </c>
      <c r="D311" s="15">
        <v>3419</v>
      </c>
      <c r="E311" s="2">
        <v>36368</v>
      </c>
      <c r="F311" s="2" t="s">
        <v>29</v>
      </c>
      <c r="G311" s="2">
        <v>22146</v>
      </c>
      <c r="H311" s="2" t="s">
        <v>21</v>
      </c>
      <c r="I311" s="2" t="s">
        <v>23</v>
      </c>
      <c r="J311" s="2"/>
      <c r="K311" s="2"/>
      <c r="L311" s="2"/>
      <c r="M311" s="2" t="s">
        <v>19</v>
      </c>
      <c r="N311" s="2">
        <f t="shared" si="4"/>
        <v>58514</v>
      </c>
      <c r="O311" s="71">
        <v>1454</v>
      </c>
    </row>
    <row r="312" spans="1:15" x14ac:dyDescent="0.25">
      <c r="A312" s="6">
        <v>7585</v>
      </c>
      <c r="B312" s="3" t="s">
        <v>16</v>
      </c>
      <c r="C312" s="3" t="s">
        <v>17</v>
      </c>
      <c r="D312" s="15">
        <v>4219</v>
      </c>
      <c r="E312" s="2">
        <v>31578</v>
      </c>
      <c r="F312" s="2" t="s">
        <v>29</v>
      </c>
      <c r="G312" s="2"/>
      <c r="H312" s="2" t="s">
        <v>21</v>
      </c>
      <c r="I312" s="2"/>
      <c r="J312" s="2"/>
      <c r="K312" s="2"/>
      <c r="L312" s="2"/>
      <c r="M312" s="2">
        <v>8004</v>
      </c>
      <c r="N312" s="2">
        <f t="shared" si="4"/>
        <v>31578</v>
      </c>
      <c r="O312" s="71">
        <v>1454</v>
      </c>
    </row>
    <row r="313" spans="1:15" x14ac:dyDescent="0.25">
      <c r="A313" s="6">
        <v>7586</v>
      </c>
      <c r="B313" s="3" t="s">
        <v>16</v>
      </c>
      <c r="C313" s="3" t="s">
        <v>17</v>
      </c>
      <c r="D313" s="15">
        <v>4219</v>
      </c>
      <c r="E313" s="2">
        <v>32989</v>
      </c>
      <c r="F313" s="2" t="s">
        <v>29</v>
      </c>
      <c r="G313" s="2"/>
      <c r="H313" s="2" t="s">
        <v>21</v>
      </c>
      <c r="I313" s="2"/>
      <c r="J313" s="2"/>
      <c r="K313" s="2"/>
      <c r="L313" s="2"/>
      <c r="M313" s="2">
        <v>8004</v>
      </c>
      <c r="N313" s="2">
        <f t="shared" si="4"/>
        <v>32989</v>
      </c>
      <c r="O313" s="71">
        <v>1454</v>
      </c>
    </row>
    <row r="314" spans="1:15" x14ac:dyDescent="0.25">
      <c r="A314" s="6">
        <v>7587</v>
      </c>
      <c r="B314" s="3" t="s">
        <v>16</v>
      </c>
      <c r="C314" s="3" t="s">
        <v>17</v>
      </c>
      <c r="D314" s="15">
        <v>4219</v>
      </c>
      <c r="E314" s="2">
        <v>35612</v>
      </c>
      <c r="F314" s="2" t="s">
        <v>29</v>
      </c>
      <c r="G314" s="2"/>
      <c r="H314" s="2" t="s">
        <v>21</v>
      </c>
      <c r="I314" s="2"/>
      <c r="J314" s="2"/>
      <c r="K314" s="2"/>
      <c r="L314" s="2"/>
      <c r="M314" s="2">
        <v>8004</v>
      </c>
      <c r="N314" s="2">
        <f t="shared" si="4"/>
        <v>35612</v>
      </c>
      <c r="O314" s="71">
        <v>1454</v>
      </c>
    </row>
    <row r="315" spans="1:15" x14ac:dyDescent="0.25">
      <c r="A315" s="6">
        <v>7588</v>
      </c>
      <c r="B315" s="3" t="s">
        <v>16</v>
      </c>
      <c r="C315" s="3" t="s">
        <v>17</v>
      </c>
      <c r="D315" s="15">
        <v>4219</v>
      </c>
      <c r="E315" s="2">
        <v>41152</v>
      </c>
      <c r="F315" s="2" t="s">
        <v>29</v>
      </c>
      <c r="G315" s="2"/>
      <c r="H315" s="2" t="s">
        <v>21</v>
      </c>
      <c r="I315" s="2"/>
      <c r="J315" s="2"/>
      <c r="K315" s="2"/>
      <c r="L315" s="2"/>
      <c r="M315" s="2">
        <v>8004</v>
      </c>
      <c r="N315" s="2">
        <f t="shared" si="4"/>
        <v>41152</v>
      </c>
      <c r="O315" s="71">
        <v>1454</v>
      </c>
    </row>
    <row r="316" spans="1:15" x14ac:dyDescent="0.25">
      <c r="A316" s="2">
        <v>7589</v>
      </c>
      <c r="B316" s="3" t="s">
        <v>16</v>
      </c>
      <c r="C316" s="3" t="s">
        <v>17</v>
      </c>
      <c r="D316" s="15">
        <v>4219</v>
      </c>
      <c r="E316" s="2">
        <v>29838</v>
      </c>
      <c r="F316" s="2" t="s">
        <v>23</v>
      </c>
      <c r="G316" s="2"/>
      <c r="H316" s="2"/>
      <c r="I316" s="2"/>
      <c r="J316" s="2"/>
      <c r="K316" s="2"/>
      <c r="L316" s="2"/>
      <c r="M316" s="2" t="s">
        <v>19</v>
      </c>
      <c r="N316" s="2">
        <f t="shared" si="4"/>
        <v>29838</v>
      </c>
      <c r="O316" s="71">
        <v>1454</v>
      </c>
    </row>
    <row r="317" spans="1:15" x14ac:dyDescent="0.25">
      <c r="A317" s="6">
        <v>7590</v>
      </c>
      <c r="B317" s="3" t="s">
        <v>16</v>
      </c>
      <c r="C317" s="3" t="s">
        <v>17</v>
      </c>
      <c r="D317" s="15">
        <v>3419</v>
      </c>
      <c r="E317" s="2">
        <v>53327</v>
      </c>
      <c r="F317" s="2" t="s">
        <v>29</v>
      </c>
      <c r="G317" s="2">
        <v>56076</v>
      </c>
      <c r="H317" s="2" t="s">
        <v>21</v>
      </c>
      <c r="I317" s="2" t="s">
        <v>28</v>
      </c>
      <c r="J317" s="2"/>
      <c r="K317" s="2"/>
      <c r="L317" s="2"/>
      <c r="M317" s="4" t="s">
        <v>19</v>
      </c>
      <c r="N317" s="2">
        <f t="shared" si="4"/>
        <v>109403</v>
      </c>
      <c r="O317" s="71">
        <v>1454</v>
      </c>
    </row>
    <row r="318" spans="1:15" x14ac:dyDescent="0.25">
      <c r="A318" s="6">
        <v>7647</v>
      </c>
      <c r="B318" s="3" t="s">
        <v>11</v>
      </c>
      <c r="C318" s="3" t="s">
        <v>12</v>
      </c>
      <c r="D318" s="15">
        <v>1020</v>
      </c>
      <c r="E318" s="2">
        <v>95649</v>
      </c>
      <c r="F318" s="2" t="s">
        <v>29</v>
      </c>
      <c r="G318" s="2"/>
      <c r="H318" s="2" t="s">
        <v>27</v>
      </c>
      <c r="I318" s="2"/>
      <c r="J318" s="2"/>
      <c r="K318" s="2"/>
      <c r="L318" s="2"/>
      <c r="M318" s="7">
        <v>19055</v>
      </c>
      <c r="N318" s="2">
        <f t="shared" si="4"/>
        <v>95649</v>
      </c>
      <c r="O318" s="71">
        <v>1766</v>
      </c>
    </row>
    <row r="319" spans="1:15" x14ac:dyDescent="0.25">
      <c r="A319" s="6">
        <v>7648</v>
      </c>
      <c r="B319" s="3" t="s">
        <v>11</v>
      </c>
      <c r="C319" s="3" t="s">
        <v>12</v>
      </c>
      <c r="D319" s="15">
        <v>1020</v>
      </c>
      <c r="E319" s="2">
        <v>105255</v>
      </c>
      <c r="F319" s="2" t="s">
        <v>29</v>
      </c>
      <c r="G319" s="2"/>
      <c r="H319" s="2" t="s">
        <v>27</v>
      </c>
      <c r="I319" s="2"/>
      <c r="J319" s="2"/>
      <c r="K319" s="2"/>
      <c r="L319" s="2"/>
      <c r="M319" s="7">
        <v>19055</v>
      </c>
      <c r="N319" s="2">
        <f t="shared" si="4"/>
        <v>105255</v>
      </c>
      <c r="O319" s="71">
        <v>1766</v>
      </c>
    </row>
    <row r="320" spans="1:15" x14ac:dyDescent="0.25">
      <c r="A320" s="6">
        <v>7649</v>
      </c>
      <c r="B320" s="3" t="s">
        <v>11</v>
      </c>
      <c r="C320" s="3" t="s">
        <v>12</v>
      </c>
      <c r="D320" s="15">
        <v>1020</v>
      </c>
      <c r="E320" s="2">
        <v>105267</v>
      </c>
      <c r="F320" s="2" t="s">
        <v>29</v>
      </c>
      <c r="G320" s="2"/>
      <c r="H320" s="2" t="s">
        <v>21</v>
      </c>
      <c r="I320" s="2"/>
      <c r="J320" s="2"/>
      <c r="K320" s="2"/>
      <c r="L320" s="2"/>
      <c r="M320" s="2">
        <v>8008</v>
      </c>
      <c r="N320" s="2">
        <f t="shared" si="4"/>
        <v>105267</v>
      </c>
      <c r="O320" s="71">
        <v>1766</v>
      </c>
    </row>
    <row r="321" spans="1:15" x14ac:dyDescent="0.25">
      <c r="A321" s="2">
        <v>7650</v>
      </c>
      <c r="B321" s="3" t="s">
        <v>11</v>
      </c>
      <c r="C321" s="3" t="s">
        <v>12</v>
      </c>
      <c r="D321" s="15">
        <v>1020</v>
      </c>
      <c r="E321" s="2">
        <v>105267</v>
      </c>
      <c r="F321" s="2" t="s">
        <v>29</v>
      </c>
      <c r="G321" s="2"/>
      <c r="H321" s="2"/>
      <c r="I321" s="2" t="s">
        <v>23</v>
      </c>
      <c r="J321" s="2"/>
      <c r="K321" s="2"/>
      <c r="L321" s="2"/>
      <c r="M321" s="2" t="s">
        <v>19</v>
      </c>
      <c r="N321" s="2">
        <f t="shared" si="4"/>
        <v>105267</v>
      </c>
      <c r="O321" s="71">
        <v>1766</v>
      </c>
    </row>
    <row r="322" spans="1:15" x14ac:dyDescent="0.25">
      <c r="A322" s="6">
        <v>7660</v>
      </c>
      <c r="B322" s="3" t="s">
        <v>8</v>
      </c>
      <c r="C322" s="3" t="s">
        <v>9</v>
      </c>
      <c r="D322" s="15">
        <v>4820</v>
      </c>
      <c r="E322" s="2">
        <v>121463</v>
      </c>
      <c r="F322" s="2" t="s">
        <v>29</v>
      </c>
      <c r="G322" s="2"/>
      <c r="H322" s="2" t="s">
        <v>21</v>
      </c>
      <c r="I322" s="2"/>
      <c r="J322" s="2"/>
      <c r="K322" s="2"/>
      <c r="L322" s="2"/>
      <c r="M322" s="7">
        <v>19059</v>
      </c>
      <c r="N322" s="2">
        <f t="shared" si="4"/>
        <v>121463</v>
      </c>
      <c r="O322" s="71">
        <v>1766</v>
      </c>
    </row>
    <row r="323" spans="1:15" x14ac:dyDescent="0.25">
      <c r="A323" s="6">
        <v>7661</v>
      </c>
      <c r="B323" s="3" t="s">
        <v>8</v>
      </c>
      <c r="C323" s="3" t="s">
        <v>9</v>
      </c>
      <c r="D323" s="15">
        <v>4820</v>
      </c>
      <c r="E323" s="2">
        <v>128044</v>
      </c>
      <c r="F323" s="2" t="s">
        <v>29</v>
      </c>
      <c r="G323" s="2"/>
      <c r="H323" s="2" t="s">
        <v>21</v>
      </c>
      <c r="I323" s="2"/>
      <c r="J323" s="2"/>
      <c r="K323" s="2"/>
      <c r="L323" s="2"/>
      <c r="M323" s="7">
        <v>19059</v>
      </c>
      <c r="N323" s="2">
        <f t="shared" si="4"/>
        <v>128044</v>
      </c>
      <c r="O323" s="71">
        <v>1766</v>
      </c>
    </row>
    <row r="324" spans="1:15" x14ac:dyDescent="0.25">
      <c r="A324" s="6">
        <v>7662</v>
      </c>
      <c r="B324" s="3" t="s">
        <v>8</v>
      </c>
      <c r="C324" s="3" t="s">
        <v>9</v>
      </c>
      <c r="D324" s="15">
        <v>4820</v>
      </c>
      <c r="E324" s="2">
        <v>101344</v>
      </c>
      <c r="F324" s="2" t="s">
        <v>29</v>
      </c>
      <c r="G324" s="2"/>
      <c r="H324" s="2" t="s">
        <v>21</v>
      </c>
      <c r="I324" s="2"/>
      <c r="J324" s="2"/>
      <c r="K324" s="2"/>
      <c r="L324" s="2"/>
      <c r="M324" s="7">
        <v>19059</v>
      </c>
      <c r="N324" s="2">
        <f t="shared" si="4"/>
        <v>101344</v>
      </c>
      <c r="O324" s="71">
        <v>1766</v>
      </c>
    </row>
    <row r="325" spans="1:15" x14ac:dyDescent="0.25">
      <c r="A325" s="2">
        <v>7663</v>
      </c>
      <c r="B325" s="3" t="s">
        <v>8</v>
      </c>
      <c r="C325" s="3" t="s">
        <v>9</v>
      </c>
      <c r="D325" s="15">
        <v>4820</v>
      </c>
      <c r="E325" s="2">
        <v>51603</v>
      </c>
      <c r="F325" s="2"/>
      <c r="G325" s="2"/>
      <c r="H325" s="2"/>
      <c r="I325" s="2"/>
      <c r="J325" s="2"/>
      <c r="K325" s="2"/>
      <c r="L325" s="2"/>
      <c r="M325" s="7" t="s">
        <v>34</v>
      </c>
      <c r="N325" s="2">
        <f t="shared" si="4"/>
        <v>51603</v>
      </c>
      <c r="O325" s="71">
        <v>1766</v>
      </c>
    </row>
    <row r="326" spans="1:15" x14ac:dyDescent="0.25">
      <c r="A326" s="2">
        <v>7682</v>
      </c>
      <c r="B326" s="3" t="s">
        <v>8</v>
      </c>
      <c r="C326" s="3" t="s">
        <v>9</v>
      </c>
      <c r="D326" s="15">
        <v>4920</v>
      </c>
      <c r="E326" s="2">
        <v>102116</v>
      </c>
      <c r="F326" s="2" t="s">
        <v>28</v>
      </c>
      <c r="G326" s="2"/>
      <c r="H326" s="2"/>
      <c r="I326" s="2"/>
      <c r="J326" s="2"/>
      <c r="K326" s="2"/>
      <c r="L326" s="2"/>
      <c r="M326" s="2" t="s">
        <v>19</v>
      </c>
      <c r="N326" s="2">
        <f t="shared" ref="N326:N389" si="5">SUM(E326,G326,J326,)</f>
        <v>102116</v>
      </c>
      <c r="O326" s="71">
        <v>2191</v>
      </c>
    </row>
    <row r="327" spans="1:15" x14ac:dyDescent="0.25">
      <c r="A327" s="6">
        <v>7683</v>
      </c>
      <c r="B327" s="3" t="s">
        <v>8</v>
      </c>
      <c r="C327" s="3" t="s">
        <v>9</v>
      </c>
      <c r="D327" s="15">
        <v>4920</v>
      </c>
      <c r="E327" s="2">
        <v>118955</v>
      </c>
      <c r="F327" s="2" t="s">
        <v>29</v>
      </c>
      <c r="G327" s="2"/>
      <c r="H327" s="2" t="s">
        <v>21</v>
      </c>
      <c r="I327" s="2"/>
      <c r="J327" s="2"/>
      <c r="K327" s="2"/>
      <c r="L327" s="2"/>
      <c r="M327" s="7">
        <v>19059</v>
      </c>
      <c r="N327" s="2">
        <f t="shared" si="5"/>
        <v>118955</v>
      </c>
      <c r="O327" s="71">
        <v>2191</v>
      </c>
    </row>
    <row r="328" spans="1:15" x14ac:dyDescent="0.25">
      <c r="A328" s="6">
        <v>7684</v>
      </c>
      <c r="B328" s="3" t="s">
        <v>8</v>
      </c>
      <c r="C328" s="3" t="s">
        <v>9</v>
      </c>
      <c r="D328" s="15">
        <v>4920</v>
      </c>
      <c r="E328" s="2">
        <v>116317</v>
      </c>
      <c r="F328" s="2" t="s">
        <v>29</v>
      </c>
      <c r="G328" s="2"/>
      <c r="H328" s="2" t="s">
        <v>70</v>
      </c>
      <c r="I328" s="2"/>
      <c r="J328" s="2"/>
      <c r="K328" s="2"/>
      <c r="L328" s="2"/>
      <c r="M328" s="7">
        <v>19051</v>
      </c>
      <c r="N328" s="2">
        <f t="shared" si="5"/>
        <v>116317</v>
      </c>
      <c r="O328" s="71">
        <v>2191</v>
      </c>
    </row>
    <row r="329" spans="1:15" x14ac:dyDescent="0.25">
      <c r="A329" s="6">
        <v>7685</v>
      </c>
      <c r="B329" s="3" t="s">
        <v>8</v>
      </c>
      <c r="C329" s="3" t="s">
        <v>9</v>
      </c>
      <c r="D329" s="15">
        <v>4920</v>
      </c>
      <c r="E329" s="2">
        <v>116317</v>
      </c>
      <c r="F329" s="2" t="s">
        <v>29</v>
      </c>
      <c r="G329" s="2"/>
      <c r="H329" s="2" t="s">
        <v>70</v>
      </c>
      <c r="I329" s="2"/>
      <c r="J329" s="2"/>
      <c r="K329" s="2"/>
      <c r="L329" s="2"/>
      <c r="M329" s="7">
        <v>19051</v>
      </c>
      <c r="N329" s="2">
        <f t="shared" si="5"/>
        <v>116317</v>
      </c>
      <c r="O329" s="71">
        <v>2191</v>
      </c>
    </row>
    <row r="330" spans="1:15" x14ac:dyDescent="0.25">
      <c r="A330" s="6">
        <v>7686</v>
      </c>
      <c r="B330" s="3" t="s">
        <v>8</v>
      </c>
      <c r="C330" s="3" t="s">
        <v>9</v>
      </c>
      <c r="D330" s="15">
        <v>4920</v>
      </c>
      <c r="E330" s="2"/>
      <c r="F330" s="2"/>
      <c r="G330" s="2"/>
      <c r="H330" s="2"/>
      <c r="I330" s="2"/>
      <c r="J330" s="2"/>
      <c r="K330" s="2"/>
      <c r="L330" s="2"/>
      <c r="M330" s="2">
        <v>8008</v>
      </c>
      <c r="N330" s="2">
        <f t="shared" si="5"/>
        <v>0</v>
      </c>
      <c r="O330" s="71">
        <v>2191</v>
      </c>
    </row>
    <row r="331" spans="1:15" x14ac:dyDescent="0.25">
      <c r="A331" s="6">
        <v>7687</v>
      </c>
      <c r="B331" s="3" t="s">
        <v>8</v>
      </c>
      <c r="C331" s="3" t="s">
        <v>9</v>
      </c>
      <c r="D331" s="15">
        <v>4920</v>
      </c>
      <c r="E331" s="2"/>
      <c r="F331" s="2"/>
      <c r="G331" s="2"/>
      <c r="H331" s="2"/>
      <c r="I331" s="2"/>
      <c r="J331" s="2"/>
      <c r="K331" s="2"/>
      <c r="L331" s="2"/>
      <c r="M331" s="2">
        <v>8008</v>
      </c>
      <c r="N331" s="2">
        <f t="shared" si="5"/>
        <v>0</v>
      </c>
      <c r="O331" s="71">
        <v>2191</v>
      </c>
    </row>
    <row r="332" spans="1:15" x14ac:dyDescent="0.25">
      <c r="A332" s="6">
        <v>7695</v>
      </c>
      <c r="B332" s="3" t="s">
        <v>8</v>
      </c>
      <c r="C332" s="3" t="s">
        <v>9</v>
      </c>
      <c r="D332" s="15">
        <v>1021</v>
      </c>
      <c r="E332" s="2"/>
      <c r="F332" s="2"/>
      <c r="G332" s="2"/>
      <c r="H332" s="2"/>
      <c r="I332" s="2"/>
      <c r="J332" s="2"/>
      <c r="K332" s="2"/>
      <c r="L332" s="2"/>
      <c r="M332" s="2">
        <v>8005</v>
      </c>
      <c r="N332" s="2">
        <f t="shared" si="5"/>
        <v>0</v>
      </c>
      <c r="O332" s="71">
        <v>2496</v>
      </c>
    </row>
    <row r="333" spans="1:15" x14ac:dyDescent="0.25">
      <c r="A333" s="6">
        <v>7696</v>
      </c>
      <c r="B333" s="3" t="s">
        <v>8</v>
      </c>
      <c r="C333" s="3" t="s">
        <v>9</v>
      </c>
      <c r="D333" s="15" t="s">
        <v>39</v>
      </c>
      <c r="E333" s="2"/>
      <c r="F333" s="2"/>
      <c r="G333" s="2"/>
      <c r="H333" s="2"/>
      <c r="I333" s="2"/>
      <c r="J333" s="2"/>
      <c r="K333" s="2"/>
      <c r="L333" s="2"/>
      <c r="M333" s="2">
        <v>8005</v>
      </c>
      <c r="N333" s="2">
        <f t="shared" si="5"/>
        <v>0</v>
      </c>
      <c r="O333" s="71">
        <v>2496</v>
      </c>
    </row>
    <row r="334" spans="1:15" x14ac:dyDescent="0.25">
      <c r="A334" s="6">
        <v>7697</v>
      </c>
      <c r="B334" s="3" t="s">
        <v>8</v>
      </c>
      <c r="C334" s="3" t="s">
        <v>9</v>
      </c>
      <c r="D334" s="15" t="s">
        <v>39</v>
      </c>
      <c r="E334" s="2">
        <v>102707</v>
      </c>
      <c r="F334" s="2" t="s">
        <v>29</v>
      </c>
      <c r="G334" s="2"/>
      <c r="H334" s="2" t="s">
        <v>70</v>
      </c>
      <c r="I334" s="2"/>
      <c r="J334" s="2"/>
      <c r="K334" s="2"/>
      <c r="L334" s="2"/>
      <c r="M334" s="7">
        <v>19051</v>
      </c>
      <c r="N334" s="2">
        <f t="shared" si="5"/>
        <v>102707</v>
      </c>
      <c r="O334" s="71">
        <v>2496</v>
      </c>
    </row>
    <row r="335" spans="1:15" x14ac:dyDescent="0.25">
      <c r="A335" s="2">
        <v>7698</v>
      </c>
      <c r="B335" s="3" t="s">
        <v>8</v>
      </c>
      <c r="C335" s="3" t="s">
        <v>9</v>
      </c>
      <c r="D335" s="15" t="s">
        <v>40</v>
      </c>
      <c r="E335" s="2">
        <v>84246</v>
      </c>
      <c r="F335" s="2" t="s">
        <v>28</v>
      </c>
      <c r="G335" s="2"/>
      <c r="H335" s="2"/>
      <c r="I335" s="2"/>
      <c r="J335" s="2"/>
      <c r="K335" s="2"/>
      <c r="L335" s="2"/>
      <c r="M335" s="2" t="s">
        <v>19</v>
      </c>
      <c r="N335" s="2">
        <f t="shared" si="5"/>
        <v>84246</v>
      </c>
      <c r="O335" s="71">
        <v>2496</v>
      </c>
    </row>
    <row r="336" spans="1:15" x14ac:dyDescent="0.25">
      <c r="A336" s="6">
        <v>7699</v>
      </c>
      <c r="B336" s="3" t="s">
        <v>8</v>
      </c>
      <c r="C336" s="3" t="s">
        <v>9</v>
      </c>
      <c r="D336" s="15" t="s">
        <v>40</v>
      </c>
      <c r="E336" s="2">
        <v>99363</v>
      </c>
      <c r="F336" s="2" t="s">
        <v>28</v>
      </c>
      <c r="G336" s="2"/>
      <c r="H336" s="2" t="s">
        <v>70</v>
      </c>
      <c r="I336" s="2"/>
      <c r="J336" s="2"/>
      <c r="K336" s="2"/>
      <c r="L336" s="2"/>
      <c r="M336" s="7">
        <v>19051</v>
      </c>
      <c r="N336" s="2">
        <f t="shared" si="5"/>
        <v>99363</v>
      </c>
      <c r="O336" s="71">
        <v>2496</v>
      </c>
    </row>
    <row r="337" spans="1:15" x14ac:dyDescent="0.25">
      <c r="A337" s="2">
        <v>7700</v>
      </c>
      <c r="B337" s="3" t="s">
        <v>8</v>
      </c>
      <c r="C337" s="3" t="s">
        <v>9</v>
      </c>
      <c r="D337" s="15">
        <v>1021</v>
      </c>
      <c r="E337" s="2">
        <v>109990</v>
      </c>
      <c r="F337" s="2" t="s">
        <v>29</v>
      </c>
      <c r="G337" s="2"/>
      <c r="H337" s="2"/>
      <c r="I337" s="2"/>
      <c r="J337" s="2"/>
      <c r="K337" s="2"/>
      <c r="L337" s="2"/>
      <c r="M337" s="67" t="s">
        <v>30</v>
      </c>
      <c r="N337" s="2">
        <f t="shared" si="5"/>
        <v>109990</v>
      </c>
      <c r="O337" s="71">
        <v>2496</v>
      </c>
    </row>
    <row r="338" spans="1:15" x14ac:dyDescent="0.25">
      <c r="A338" s="6">
        <v>7711</v>
      </c>
      <c r="B338" s="3" t="s">
        <v>8</v>
      </c>
      <c r="C338" s="3" t="s">
        <v>9</v>
      </c>
      <c r="D338" s="15">
        <v>2721</v>
      </c>
      <c r="E338" s="2"/>
      <c r="F338" s="2"/>
      <c r="G338" s="2"/>
      <c r="H338" s="2"/>
      <c r="I338" s="2"/>
      <c r="J338" s="2"/>
      <c r="K338" s="2"/>
      <c r="L338" s="2"/>
      <c r="M338" s="2">
        <v>8006</v>
      </c>
      <c r="N338" s="2">
        <f t="shared" si="5"/>
        <v>0</v>
      </c>
      <c r="O338" s="71">
        <v>2451</v>
      </c>
    </row>
    <row r="339" spans="1:15" x14ac:dyDescent="0.25">
      <c r="A339" s="6">
        <v>7712</v>
      </c>
      <c r="B339" s="3" t="s">
        <v>8</v>
      </c>
      <c r="C339" s="3" t="s">
        <v>9</v>
      </c>
      <c r="D339" s="15">
        <v>2721</v>
      </c>
      <c r="E339" s="2"/>
      <c r="F339" s="2"/>
      <c r="G339" s="2"/>
      <c r="H339" s="2"/>
      <c r="I339" s="2"/>
      <c r="J339" s="2"/>
      <c r="K339" s="2"/>
      <c r="L339" s="2"/>
      <c r="M339" s="2">
        <v>8006</v>
      </c>
      <c r="N339" s="2">
        <f t="shared" si="5"/>
        <v>0</v>
      </c>
      <c r="O339" s="71">
        <v>2451</v>
      </c>
    </row>
    <row r="340" spans="1:15" x14ac:dyDescent="0.25">
      <c r="A340" s="2">
        <v>7713</v>
      </c>
      <c r="B340" s="3" t="s">
        <v>8</v>
      </c>
      <c r="C340" s="3" t="s">
        <v>9</v>
      </c>
      <c r="D340" s="15">
        <v>2621</v>
      </c>
      <c r="E340" s="2"/>
      <c r="F340" s="2"/>
      <c r="G340" s="2"/>
      <c r="H340" s="2"/>
      <c r="I340" s="2"/>
      <c r="J340" s="2"/>
      <c r="K340" s="2"/>
      <c r="L340" s="2"/>
      <c r="M340" s="7" t="s">
        <v>30</v>
      </c>
      <c r="N340" s="2">
        <f t="shared" si="5"/>
        <v>0</v>
      </c>
      <c r="O340" s="71">
        <v>2451</v>
      </c>
    </row>
    <row r="341" spans="1:15" x14ac:dyDescent="0.25">
      <c r="A341" s="6">
        <v>7714</v>
      </c>
      <c r="B341" s="3" t="s">
        <v>8</v>
      </c>
      <c r="C341" s="3" t="s">
        <v>9</v>
      </c>
      <c r="D341" s="15">
        <v>2721</v>
      </c>
      <c r="E341" s="2"/>
      <c r="F341" s="2"/>
      <c r="G341" s="2"/>
      <c r="H341" s="2"/>
      <c r="I341" s="2"/>
      <c r="J341" s="2"/>
      <c r="K341" s="2"/>
      <c r="L341" s="2"/>
      <c r="M341" s="2">
        <v>19053</v>
      </c>
      <c r="N341" s="2">
        <f t="shared" si="5"/>
        <v>0</v>
      </c>
      <c r="O341" s="71">
        <v>2451</v>
      </c>
    </row>
    <row r="342" spans="1:15" x14ac:dyDescent="0.25">
      <c r="A342" s="6">
        <v>7717</v>
      </c>
      <c r="B342" s="3" t="s">
        <v>11</v>
      </c>
      <c r="C342" s="3" t="s">
        <v>12</v>
      </c>
      <c r="D342" s="15">
        <v>3621</v>
      </c>
      <c r="E342" s="2"/>
      <c r="F342" s="2"/>
      <c r="G342" s="2"/>
      <c r="H342" s="2"/>
      <c r="I342" s="2"/>
      <c r="J342" s="2"/>
      <c r="K342" s="2"/>
      <c r="L342" s="2"/>
      <c r="M342" s="2">
        <v>19060</v>
      </c>
      <c r="N342" s="2">
        <f t="shared" si="5"/>
        <v>0</v>
      </c>
      <c r="O342" s="71">
        <v>2767</v>
      </c>
    </row>
    <row r="343" spans="1:15" x14ac:dyDescent="0.25">
      <c r="A343" s="6">
        <v>7718</v>
      </c>
      <c r="B343" s="3" t="s">
        <v>11</v>
      </c>
      <c r="C343" s="3" t="s">
        <v>12</v>
      </c>
      <c r="D343" s="15">
        <v>3621</v>
      </c>
      <c r="E343" s="2"/>
      <c r="F343" s="2"/>
      <c r="G343" s="2"/>
      <c r="H343" s="2"/>
      <c r="I343" s="2"/>
      <c r="J343" s="2"/>
      <c r="K343" s="2"/>
      <c r="L343" s="2"/>
      <c r="M343" s="2">
        <v>19060</v>
      </c>
      <c r="N343" s="2">
        <f t="shared" si="5"/>
        <v>0</v>
      </c>
      <c r="O343" s="71">
        <v>2767</v>
      </c>
    </row>
    <row r="344" spans="1:15" x14ac:dyDescent="0.25">
      <c r="A344" s="6">
        <v>7719</v>
      </c>
      <c r="B344" s="3" t="s">
        <v>11</v>
      </c>
      <c r="C344" s="3" t="s">
        <v>12</v>
      </c>
      <c r="D344" s="15">
        <v>3621</v>
      </c>
      <c r="E344" s="2"/>
      <c r="F344" s="2"/>
      <c r="G344" s="2"/>
      <c r="H344" s="2"/>
      <c r="I344" s="2"/>
      <c r="J344" s="2"/>
      <c r="K344" s="2"/>
      <c r="L344" s="2"/>
      <c r="M344" s="7">
        <v>19052</v>
      </c>
      <c r="N344" s="2">
        <f t="shared" si="5"/>
        <v>0</v>
      </c>
      <c r="O344" s="71">
        <v>2767</v>
      </c>
    </row>
    <row r="345" spans="1:15" x14ac:dyDescent="0.25">
      <c r="A345" s="6">
        <v>7720</v>
      </c>
      <c r="B345" s="3" t="s">
        <v>11</v>
      </c>
      <c r="C345" s="3" t="s">
        <v>12</v>
      </c>
      <c r="D345" s="15">
        <v>3621</v>
      </c>
      <c r="E345" s="2"/>
      <c r="F345" s="2"/>
      <c r="G345" s="2"/>
      <c r="H345" s="2"/>
      <c r="I345" s="2"/>
      <c r="J345" s="2"/>
      <c r="K345" s="2"/>
      <c r="L345" s="2"/>
      <c r="M345" s="7">
        <v>19052</v>
      </c>
      <c r="N345" s="2">
        <f t="shared" si="5"/>
        <v>0</v>
      </c>
      <c r="O345" s="71">
        <v>2767</v>
      </c>
    </row>
    <row r="346" spans="1:15" x14ac:dyDescent="0.25">
      <c r="A346" s="6">
        <v>7721</v>
      </c>
      <c r="B346" s="3" t="s">
        <v>11</v>
      </c>
      <c r="C346" s="3" t="s">
        <v>12</v>
      </c>
      <c r="D346" s="15">
        <v>3621</v>
      </c>
      <c r="E346" s="2"/>
      <c r="F346" s="2"/>
      <c r="G346" s="2"/>
      <c r="H346" s="2"/>
      <c r="I346" s="2"/>
      <c r="J346" s="2"/>
      <c r="K346" s="2"/>
      <c r="L346" s="2"/>
      <c r="M346" s="7">
        <v>19056</v>
      </c>
      <c r="N346" s="2">
        <f t="shared" si="5"/>
        <v>0</v>
      </c>
      <c r="O346" s="71">
        <v>2767</v>
      </c>
    </row>
    <row r="347" spans="1:15" x14ac:dyDescent="0.25">
      <c r="A347" s="6">
        <v>7722</v>
      </c>
      <c r="B347" s="3" t="s">
        <v>11</v>
      </c>
      <c r="C347" s="3" t="s">
        <v>12</v>
      </c>
      <c r="D347" s="15">
        <v>3621</v>
      </c>
      <c r="E347" s="2"/>
      <c r="F347" s="2"/>
      <c r="G347" s="2"/>
      <c r="H347" s="2"/>
      <c r="I347" s="2"/>
      <c r="J347" s="2"/>
      <c r="K347" s="2"/>
      <c r="L347" s="2"/>
      <c r="M347" s="7">
        <v>19056</v>
      </c>
      <c r="N347" s="2">
        <f t="shared" si="5"/>
        <v>0</v>
      </c>
      <c r="O347" s="71">
        <v>2767</v>
      </c>
    </row>
    <row r="348" spans="1:15" x14ac:dyDescent="0.25">
      <c r="A348" s="6">
        <v>7736</v>
      </c>
      <c r="B348" s="3" t="s">
        <v>11</v>
      </c>
      <c r="C348" s="3" t="s">
        <v>12</v>
      </c>
      <c r="D348" s="15" t="s">
        <v>38</v>
      </c>
      <c r="E348" s="2"/>
      <c r="F348" s="2"/>
      <c r="G348" s="2"/>
      <c r="H348" s="2"/>
      <c r="I348" s="2"/>
      <c r="J348" s="2"/>
      <c r="K348" s="2"/>
      <c r="L348" s="2"/>
      <c r="M348" s="7">
        <v>8002</v>
      </c>
      <c r="N348" s="2">
        <f t="shared" si="5"/>
        <v>0</v>
      </c>
      <c r="O348" s="71">
        <v>2767</v>
      </c>
    </row>
    <row r="349" spans="1:15" x14ac:dyDescent="0.25">
      <c r="A349" s="6">
        <v>7737</v>
      </c>
      <c r="B349" s="3" t="s">
        <v>11</v>
      </c>
      <c r="C349" s="3" t="s">
        <v>12</v>
      </c>
      <c r="D349" s="15">
        <v>2221</v>
      </c>
      <c r="E349" s="2"/>
      <c r="F349" s="2"/>
      <c r="G349" s="2"/>
      <c r="H349" s="2"/>
      <c r="I349" s="2"/>
      <c r="J349" s="2"/>
      <c r="K349" s="2"/>
      <c r="L349" s="2"/>
      <c r="M349" s="7">
        <v>8002</v>
      </c>
      <c r="N349" s="2">
        <f t="shared" si="5"/>
        <v>0</v>
      </c>
      <c r="O349" s="71">
        <v>2767</v>
      </c>
    </row>
    <row r="350" spans="1:15" x14ac:dyDescent="0.25">
      <c r="A350" s="6">
        <v>7738</v>
      </c>
      <c r="B350" s="3" t="s">
        <v>11</v>
      </c>
      <c r="C350" s="3" t="s">
        <v>12</v>
      </c>
      <c r="D350" s="15">
        <v>5121</v>
      </c>
      <c r="E350" s="2"/>
      <c r="F350" s="2"/>
      <c r="G350" s="2"/>
      <c r="H350" s="2"/>
      <c r="I350" s="2"/>
      <c r="J350" s="2"/>
      <c r="K350" s="2"/>
      <c r="L350" s="2"/>
      <c r="M350" s="7">
        <v>19059</v>
      </c>
      <c r="N350" s="2">
        <f t="shared" si="5"/>
        <v>0</v>
      </c>
      <c r="O350" s="71">
        <v>2933</v>
      </c>
    </row>
    <row r="351" spans="1:15" x14ac:dyDescent="0.25">
      <c r="A351" s="6">
        <v>7739</v>
      </c>
      <c r="B351" s="3" t="s">
        <v>11</v>
      </c>
      <c r="C351" s="3" t="s">
        <v>12</v>
      </c>
      <c r="D351" s="15">
        <v>5121</v>
      </c>
      <c r="E351" s="2"/>
      <c r="F351" s="2"/>
      <c r="G351" s="2"/>
      <c r="H351" s="2"/>
      <c r="I351" s="2"/>
      <c r="J351" s="2"/>
      <c r="K351" s="2"/>
      <c r="L351" s="2"/>
      <c r="M351" s="7">
        <v>19059</v>
      </c>
      <c r="N351" s="2">
        <f t="shared" si="5"/>
        <v>0</v>
      </c>
      <c r="O351" s="71">
        <v>2933</v>
      </c>
    </row>
    <row r="352" spans="1:15" x14ac:dyDescent="0.25">
      <c r="A352" s="6">
        <v>7740</v>
      </c>
      <c r="B352" s="3" t="s">
        <v>11</v>
      </c>
      <c r="C352" s="3" t="s">
        <v>12</v>
      </c>
      <c r="D352" s="15">
        <v>5121</v>
      </c>
      <c r="E352" s="2"/>
      <c r="F352" s="2"/>
      <c r="G352" s="2"/>
      <c r="H352" s="2"/>
      <c r="I352" s="2"/>
      <c r="J352" s="2"/>
      <c r="K352" s="2"/>
      <c r="L352" s="2"/>
      <c r="M352" s="7">
        <v>19057</v>
      </c>
      <c r="N352" s="2">
        <f t="shared" si="5"/>
        <v>0</v>
      </c>
      <c r="O352" s="71">
        <v>2933</v>
      </c>
    </row>
    <row r="353" spans="1:15" x14ac:dyDescent="0.25">
      <c r="A353" s="6">
        <v>7741</v>
      </c>
      <c r="B353" s="3" t="s">
        <v>11</v>
      </c>
      <c r="C353" s="3" t="s">
        <v>12</v>
      </c>
      <c r="D353" s="15">
        <v>5121</v>
      </c>
      <c r="E353" s="2"/>
      <c r="F353" s="2"/>
      <c r="G353" s="2"/>
      <c r="H353" s="2"/>
      <c r="I353" s="2"/>
      <c r="J353" s="2"/>
      <c r="K353" s="2"/>
      <c r="L353" s="2"/>
      <c r="M353" s="7">
        <v>19057</v>
      </c>
      <c r="N353" s="2">
        <f t="shared" si="5"/>
        <v>0</v>
      </c>
      <c r="O353" s="71">
        <v>2933</v>
      </c>
    </row>
    <row r="354" spans="1:15" x14ac:dyDescent="0.25">
      <c r="A354" s="6">
        <v>7742</v>
      </c>
      <c r="B354" s="3" t="s">
        <v>11</v>
      </c>
      <c r="C354" s="3" t="s">
        <v>12</v>
      </c>
      <c r="D354" s="15">
        <v>5121</v>
      </c>
      <c r="E354" s="2"/>
      <c r="F354" s="2"/>
      <c r="G354" s="2"/>
      <c r="H354" s="2"/>
      <c r="I354" s="2"/>
      <c r="J354" s="2"/>
      <c r="K354" s="2"/>
      <c r="L354" s="2"/>
      <c r="M354" s="7">
        <v>19055</v>
      </c>
      <c r="N354" s="2">
        <f t="shared" si="5"/>
        <v>0</v>
      </c>
      <c r="O354" s="71">
        <v>2933</v>
      </c>
    </row>
    <row r="355" spans="1:15" x14ac:dyDescent="0.25">
      <c r="A355" s="6">
        <v>7743</v>
      </c>
      <c r="B355" s="3" t="s">
        <v>11</v>
      </c>
      <c r="C355" s="3" t="s">
        <v>12</v>
      </c>
      <c r="D355" s="15">
        <v>5121</v>
      </c>
      <c r="E355" s="2"/>
      <c r="F355" s="2"/>
      <c r="G355" s="2"/>
      <c r="H355" s="2"/>
      <c r="I355" s="2"/>
      <c r="J355" s="2"/>
      <c r="K355" s="2"/>
      <c r="L355" s="2"/>
      <c r="M355" s="7">
        <v>19055</v>
      </c>
      <c r="N355" s="2">
        <f t="shared" si="5"/>
        <v>0</v>
      </c>
      <c r="O355" s="71">
        <v>2933</v>
      </c>
    </row>
    <row r="356" spans="1:15" x14ac:dyDescent="0.25">
      <c r="A356" s="6">
        <v>7755</v>
      </c>
      <c r="B356" s="3" t="s">
        <v>11</v>
      </c>
      <c r="C356" s="3" t="s">
        <v>12</v>
      </c>
      <c r="D356" s="15" t="s">
        <v>36</v>
      </c>
      <c r="E356" s="2"/>
      <c r="F356" s="2"/>
      <c r="G356" s="2"/>
      <c r="H356" s="2"/>
      <c r="I356" s="2"/>
      <c r="J356" s="2"/>
      <c r="K356" s="2"/>
      <c r="L356" s="2"/>
      <c r="M356" s="7">
        <v>19058</v>
      </c>
      <c r="N356" s="2">
        <f t="shared" si="5"/>
        <v>0</v>
      </c>
      <c r="O356" s="71">
        <v>2933</v>
      </c>
    </row>
    <row r="357" spans="1:15" x14ac:dyDescent="0.25">
      <c r="A357" s="6">
        <v>7756</v>
      </c>
      <c r="B357" s="3" t="s">
        <v>11</v>
      </c>
      <c r="C357" s="3" t="s">
        <v>12</v>
      </c>
      <c r="D357" s="15" t="s">
        <v>37</v>
      </c>
      <c r="E357" s="2"/>
      <c r="F357" s="2"/>
      <c r="G357" s="2"/>
      <c r="H357" s="2"/>
      <c r="I357" s="2"/>
      <c r="J357" s="2"/>
      <c r="K357" s="2"/>
      <c r="L357" s="2"/>
      <c r="M357" s="7">
        <v>19058</v>
      </c>
      <c r="N357" s="2">
        <f t="shared" si="5"/>
        <v>0</v>
      </c>
      <c r="O357" s="71">
        <v>2933</v>
      </c>
    </row>
    <row r="358" spans="1:15" x14ac:dyDescent="0.25">
      <c r="A358" s="6">
        <v>7757</v>
      </c>
      <c r="B358" s="3" t="s">
        <v>11</v>
      </c>
      <c r="C358" s="3" t="s">
        <v>12</v>
      </c>
      <c r="D358" s="15" t="s">
        <v>37</v>
      </c>
      <c r="E358" s="2"/>
      <c r="F358" s="2"/>
      <c r="G358" s="2"/>
      <c r="H358" s="2"/>
      <c r="I358" s="2"/>
      <c r="J358" s="2"/>
      <c r="K358" s="2"/>
      <c r="L358" s="2"/>
      <c r="M358" s="7">
        <v>8006</v>
      </c>
      <c r="N358" s="2">
        <f t="shared" si="5"/>
        <v>0</v>
      </c>
      <c r="O358" s="71">
        <v>2933</v>
      </c>
    </row>
    <row r="359" spans="1:15" x14ac:dyDescent="0.25">
      <c r="A359" s="6">
        <v>7758</v>
      </c>
      <c r="B359" s="3" t="s">
        <v>11</v>
      </c>
      <c r="C359" s="3" t="s">
        <v>12</v>
      </c>
      <c r="D359" s="15" t="s">
        <v>36</v>
      </c>
      <c r="E359" s="2"/>
      <c r="F359" s="2" t="s">
        <v>28</v>
      </c>
      <c r="G359" s="2"/>
      <c r="H359" s="2"/>
      <c r="I359" s="2"/>
      <c r="J359" s="2"/>
      <c r="K359" s="2"/>
      <c r="L359" s="2"/>
      <c r="M359" s="11">
        <v>19058</v>
      </c>
      <c r="N359" s="2">
        <f t="shared" si="5"/>
        <v>0</v>
      </c>
      <c r="O359" s="71">
        <v>2933</v>
      </c>
    </row>
    <row r="360" spans="1:15" x14ac:dyDescent="0.25">
      <c r="A360" s="6">
        <v>7759</v>
      </c>
      <c r="B360" s="3" t="s">
        <v>11</v>
      </c>
      <c r="C360" s="3" t="s">
        <v>12</v>
      </c>
      <c r="D360" s="15" t="s">
        <v>36</v>
      </c>
      <c r="E360" s="2"/>
      <c r="F360" s="2"/>
      <c r="G360" s="2"/>
      <c r="H360" s="2"/>
      <c r="I360" s="2"/>
      <c r="J360" s="2"/>
      <c r="K360" s="2"/>
      <c r="L360" s="2"/>
      <c r="M360" s="7">
        <v>8009</v>
      </c>
      <c r="N360" s="2">
        <f t="shared" si="5"/>
        <v>0</v>
      </c>
      <c r="O360" s="71">
        <v>1143.8699999999999</v>
      </c>
    </row>
    <row r="361" spans="1:15" x14ac:dyDescent="0.25">
      <c r="A361" s="6">
        <v>7770</v>
      </c>
      <c r="B361" s="3" t="s">
        <v>11</v>
      </c>
      <c r="C361" s="3" t="s">
        <v>12</v>
      </c>
      <c r="D361" s="15" t="s">
        <v>36</v>
      </c>
      <c r="E361" s="2"/>
      <c r="F361" s="2"/>
      <c r="G361" s="2"/>
      <c r="H361" s="2"/>
      <c r="I361" s="2"/>
      <c r="J361" s="2"/>
      <c r="K361" s="2"/>
      <c r="L361" s="2"/>
      <c r="M361" s="7">
        <v>8004</v>
      </c>
      <c r="N361" s="2">
        <f t="shared" si="5"/>
        <v>0</v>
      </c>
      <c r="O361" s="71">
        <v>3358</v>
      </c>
    </row>
    <row r="362" spans="1:15" x14ac:dyDescent="0.25">
      <c r="A362" s="6">
        <v>7771</v>
      </c>
      <c r="B362" s="3" t="s">
        <v>11</v>
      </c>
      <c r="C362" s="3" t="s">
        <v>12</v>
      </c>
      <c r="D362" s="15" t="s">
        <v>36</v>
      </c>
      <c r="E362" s="2"/>
      <c r="F362" s="2"/>
      <c r="G362" s="2"/>
      <c r="H362" s="2"/>
      <c r="I362" s="2"/>
      <c r="J362" s="2"/>
      <c r="K362" s="2"/>
      <c r="L362" s="2"/>
      <c r="M362" s="7">
        <v>8004</v>
      </c>
      <c r="N362" s="2">
        <f t="shared" si="5"/>
        <v>0</v>
      </c>
      <c r="O362" s="71">
        <v>3358</v>
      </c>
    </row>
    <row r="363" spans="1:15" x14ac:dyDescent="0.25">
      <c r="A363" s="6">
        <v>7786</v>
      </c>
      <c r="B363" s="3" t="s">
        <v>11</v>
      </c>
      <c r="C363" s="3" t="s">
        <v>12</v>
      </c>
      <c r="D363" s="15" t="s">
        <v>41</v>
      </c>
      <c r="E363" s="2"/>
      <c r="F363" s="2"/>
      <c r="G363" s="2"/>
      <c r="H363" s="2"/>
      <c r="I363" s="2"/>
      <c r="J363" s="2"/>
      <c r="K363" s="2"/>
      <c r="L363" s="2"/>
      <c r="M363" s="7">
        <v>8009</v>
      </c>
      <c r="N363" s="2">
        <f t="shared" si="5"/>
        <v>0</v>
      </c>
      <c r="O363" s="71">
        <v>3358</v>
      </c>
    </row>
    <row r="364" spans="1:15" x14ac:dyDescent="0.25">
      <c r="A364" s="6">
        <v>7787</v>
      </c>
      <c r="B364" s="3" t="s">
        <v>11</v>
      </c>
      <c r="C364" s="3" t="s">
        <v>12</v>
      </c>
      <c r="D364" s="15" t="s">
        <v>41</v>
      </c>
      <c r="E364" s="2"/>
      <c r="F364" s="2"/>
      <c r="G364" s="2"/>
      <c r="H364" s="2"/>
      <c r="I364" s="2"/>
      <c r="J364" s="2"/>
      <c r="K364" s="2"/>
      <c r="L364" s="2"/>
      <c r="M364" s="7">
        <v>19054</v>
      </c>
      <c r="N364" s="2">
        <f t="shared" si="5"/>
        <v>0</v>
      </c>
      <c r="O364" s="71">
        <v>3358</v>
      </c>
    </row>
    <row r="365" spans="1:15" x14ac:dyDescent="0.25">
      <c r="A365" s="6">
        <v>7788</v>
      </c>
      <c r="B365" s="3" t="s">
        <v>11</v>
      </c>
      <c r="C365" s="3" t="s">
        <v>12</v>
      </c>
      <c r="D365" s="15" t="s">
        <v>42</v>
      </c>
      <c r="E365" s="2"/>
      <c r="F365" s="2"/>
      <c r="G365" s="2"/>
      <c r="H365" s="2"/>
      <c r="I365" s="2"/>
      <c r="J365" s="2"/>
      <c r="K365" s="2"/>
      <c r="L365" s="2"/>
      <c r="M365" s="7">
        <v>19054</v>
      </c>
      <c r="N365" s="2">
        <f t="shared" si="5"/>
        <v>0</v>
      </c>
      <c r="O365" s="71">
        <v>3358</v>
      </c>
    </row>
    <row r="366" spans="1:15" x14ac:dyDescent="0.25">
      <c r="A366" s="6">
        <v>7789</v>
      </c>
      <c r="B366" s="3" t="s">
        <v>11</v>
      </c>
      <c r="C366" s="3" t="s">
        <v>12</v>
      </c>
      <c r="D366" s="15" t="s">
        <v>41</v>
      </c>
      <c r="E366" s="2"/>
      <c r="F366" s="2"/>
      <c r="G366" s="2"/>
      <c r="H366" s="2"/>
      <c r="I366" s="2"/>
      <c r="J366" s="2"/>
      <c r="K366" s="2"/>
      <c r="L366" s="2"/>
      <c r="M366" s="7">
        <v>19051</v>
      </c>
      <c r="N366" s="2">
        <f t="shared" si="5"/>
        <v>0</v>
      </c>
      <c r="O366" s="71">
        <v>3358</v>
      </c>
    </row>
    <row r="367" spans="1:15" x14ac:dyDescent="0.25">
      <c r="A367" s="6">
        <v>7790</v>
      </c>
      <c r="B367" s="3" t="s">
        <v>11</v>
      </c>
      <c r="C367" s="3" t="s">
        <v>12</v>
      </c>
      <c r="D367" s="15" t="s">
        <v>43</v>
      </c>
      <c r="E367" s="2"/>
      <c r="F367" s="2"/>
      <c r="G367" s="2"/>
      <c r="H367" s="2"/>
      <c r="I367" s="2"/>
      <c r="J367" s="2"/>
      <c r="K367" s="2"/>
      <c r="L367" s="2"/>
      <c r="M367" s="7">
        <v>19051</v>
      </c>
      <c r="N367" s="2">
        <f t="shared" si="5"/>
        <v>0</v>
      </c>
      <c r="O367" s="71">
        <v>3358</v>
      </c>
    </row>
    <row r="368" spans="1:15" x14ac:dyDescent="0.25">
      <c r="A368" s="6">
        <v>7791</v>
      </c>
      <c r="B368" s="3" t="s">
        <v>11</v>
      </c>
      <c r="C368" s="3" t="s">
        <v>12</v>
      </c>
      <c r="D368" s="15" t="s">
        <v>43</v>
      </c>
      <c r="E368" s="2"/>
      <c r="F368" s="2"/>
      <c r="G368" s="2"/>
      <c r="H368" s="2"/>
      <c r="I368" s="2"/>
      <c r="J368" s="2"/>
      <c r="K368" s="2"/>
      <c r="L368" s="2"/>
      <c r="M368" s="7">
        <v>19053</v>
      </c>
      <c r="N368" s="2">
        <f t="shared" si="5"/>
        <v>0</v>
      </c>
      <c r="O368" s="71">
        <v>3358</v>
      </c>
    </row>
    <row r="369" spans="1:15" x14ac:dyDescent="0.25">
      <c r="A369" s="6">
        <v>7792</v>
      </c>
      <c r="B369" s="3" t="s">
        <v>11</v>
      </c>
      <c r="C369" s="3" t="s">
        <v>12</v>
      </c>
      <c r="D369" s="15" t="s">
        <v>41</v>
      </c>
      <c r="E369" s="2"/>
      <c r="F369" s="2"/>
      <c r="G369" s="2"/>
      <c r="H369" s="2"/>
      <c r="I369" s="2"/>
      <c r="J369" s="2"/>
      <c r="K369" s="2"/>
      <c r="L369" s="2"/>
      <c r="M369" s="7">
        <v>19053</v>
      </c>
      <c r="N369" s="2">
        <f t="shared" si="5"/>
        <v>0</v>
      </c>
      <c r="O369" s="71">
        <v>3358</v>
      </c>
    </row>
    <row r="370" spans="1:15" x14ac:dyDescent="0.25">
      <c r="A370" s="6">
        <v>7793</v>
      </c>
      <c r="B370" s="3" t="s">
        <v>11</v>
      </c>
      <c r="C370" s="3" t="s">
        <v>12</v>
      </c>
      <c r="D370" s="15" t="s">
        <v>43</v>
      </c>
      <c r="E370" s="2"/>
      <c r="F370" s="2"/>
      <c r="G370" s="2"/>
      <c r="H370" s="2"/>
      <c r="I370" s="2"/>
      <c r="J370" s="2"/>
      <c r="K370" s="2"/>
      <c r="L370" s="2"/>
      <c r="M370" s="7">
        <v>19058</v>
      </c>
      <c r="N370" s="2">
        <f t="shared" si="5"/>
        <v>0</v>
      </c>
      <c r="O370" s="71">
        <v>3358</v>
      </c>
    </row>
    <row r="371" spans="1:15" x14ac:dyDescent="0.25">
      <c r="A371" s="74">
        <v>7794</v>
      </c>
      <c r="B371" s="65" t="s">
        <v>11</v>
      </c>
      <c r="C371" s="65" t="s">
        <v>12</v>
      </c>
      <c r="D371" s="66" t="s">
        <v>67</v>
      </c>
      <c r="E371" s="64"/>
      <c r="F371" s="64"/>
      <c r="G371" s="64"/>
      <c r="H371" s="64"/>
      <c r="I371" s="64"/>
      <c r="J371" s="64"/>
      <c r="K371" s="64"/>
      <c r="L371" s="64"/>
      <c r="M371" s="7">
        <v>19058</v>
      </c>
      <c r="N371" s="2">
        <f t="shared" si="5"/>
        <v>0</v>
      </c>
      <c r="O371" s="71">
        <v>3358</v>
      </c>
    </row>
    <row r="372" spans="1:15" x14ac:dyDescent="0.25">
      <c r="A372" s="68">
        <v>7795</v>
      </c>
      <c r="B372" s="69" t="s">
        <v>11</v>
      </c>
      <c r="C372" s="69" t="s">
        <v>12</v>
      </c>
      <c r="D372" s="70" t="s">
        <v>68</v>
      </c>
      <c r="E372" s="68"/>
      <c r="F372" s="68"/>
      <c r="G372" s="68"/>
      <c r="H372" s="68"/>
      <c r="I372" s="68"/>
      <c r="J372" s="68"/>
      <c r="K372" s="68"/>
      <c r="L372" s="68"/>
      <c r="M372" s="63" t="s">
        <v>30</v>
      </c>
      <c r="N372" s="2">
        <f t="shared" si="5"/>
        <v>0</v>
      </c>
      <c r="O372" s="71">
        <v>3358</v>
      </c>
    </row>
    <row r="373" spans="1:15" x14ac:dyDescent="0.25">
      <c r="A373" s="64">
        <v>7796</v>
      </c>
      <c r="B373" s="65" t="s">
        <v>11</v>
      </c>
      <c r="C373" s="65" t="s">
        <v>12</v>
      </c>
      <c r="D373" s="66" t="s">
        <v>67</v>
      </c>
      <c r="E373" s="64"/>
      <c r="F373" s="64"/>
      <c r="G373" s="64"/>
      <c r="H373" s="64"/>
      <c r="I373" s="64"/>
      <c r="J373" s="64"/>
      <c r="K373" s="64"/>
      <c r="L373" s="64"/>
      <c r="M373" s="7" t="s">
        <v>30</v>
      </c>
      <c r="N373" s="2">
        <f t="shared" si="5"/>
        <v>0</v>
      </c>
      <c r="O373" s="71">
        <v>3358</v>
      </c>
    </row>
    <row r="374" spans="1:15" x14ac:dyDescent="0.25">
      <c r="A374" s="60">
        <v>15428</v>
      </c>
      <c r="B374" s="61" t="s">
        <v>11</v>
      </c>
      <c r="C374" s="61" t="s">
        <v>12</v>
      </c>
      <c r="D374" s="62" t="s">
        <v>44</v>
      </c>
      <c r="E374" s="10"/>
      <c r="F374" s="10"/>
      <c r="G374" s="10"/>
      <c r="H374" s="10"/>
      <c r="I374" s="10"/>
      <c r="J374" s="10"/>
      <c r="K374" s="10"/>
      <c r="L374" s="10"/>
      <c r="M374" s="63">
        <v>19057</v>
      </c>
      <c r="N374" s="2">
        <f t="shared" si="5"/>
        <v>0</v>
      </c>
      <c r="O374" s="72">
        <v>3358</v>
      </c>
    </row>
    <row r="375" spans="1:15" x14ac:dyDescent="0.25">
      <c r="A375" s="6">
        <v>15429</v>
      </c>
      <c r="B375" s="3" t="s">
        <v>11</v>
      </c>
      <c r="C375" s="3" t="s">
        <v>12</v>
      </c>
      <c r="D375" s="15" t="s">
        <v>44</v>
      </c>
      <c r="E375" s="2"/>
      <c r="F375" s="2"/>
      <c r="G375" s="2"/>
      <c r="H375" s="2"/>
      <c r="I375" s="2"/>
      <c r="J375" s="2"/>
      <c r="K375" s="2"/>
      <c r="L375" s="2"/>
      <c r="M375" s="7">
        <v>19055</v>
      </c>
      <c r="N375" s="2">
        <f t="shared" si="5"/>
        <v>0</v>
      </c>
      <c r="O375" s="71">
        <v>3358</v>
      </c>
    </row>
    <row r="376" spans="1:15" x14ac:dyDescent="0.25">
      <c r="A376" s="2">
        <v>7818</v>
      </c>
      <c r="B376" s="3" t="s">
        <v>8</v>
      </c>
      <c r="C376" s="3" t="s">
        <v>9</v>
      </c>
      <c r="D376" s="15" t="s">
        <v>74</v>
      </c>
      <c r="E376" s="2"/>
      <c r="F376" s="2"/>
      <c r="G376" s="2"/>
      <c r="H376" s="2"/>
      <c r="I376" s="2"/>
      <c r="J376" s="2"/>
      <c r="K376" s="2"/>
      <c r="L376" s="2"/>
      <c r="M376" s="7" t="s">
        <v>30</v>
      </c>
      <c r="N376" s="2">
        <f t="shared" si="5"/>
        <v>0</v>
      </c>
      <c r="O376" s="71">
        <v>2810.42</v>
      </c>
    </row>
    <row r="377" spans="1:15" x14ac:dyDescent="0.25">
      <c r="A377" s="2">
        <v>7819</v>
      </c>
      <c r="B377" s="3" t="s">
        <v>8</v>
      </c>
      <c r="C377" s="3" t="s">
        <v>9</v>
      </c>
      <c r="D377" s="15" t="s">
        <v>73</v>
      </c>
      <c r="E377" s="2"/>
      <c r="F377" s="2"/>
      <c r="G377" s="2"/>
      <c r="H377" s="2"/>
      <c r="I377" s="2"/>
      <c r="J377" s="2"/>
      <c r="K377" s="2"/>
      <c r="L377" s="2"/>
      <c r="M377" s="7" t="s">
        <v>30</v>
      </c>
      <c r="N377" s="2">
        <f t="shared" si="5"/>
        <v>0</v>
      </c>
      <c r="O377" s="99">
        <v>2810</v>
      </c>
    </row>
    <row r="378" spans="1:15" x14ac:dyDescent="0.25">
      <c r="A378" s="2">
        <v>7820</v>
      </c>
      <c r="B378" s="3" t="s">
        <v>8</v>
      </c>
      <c r="C378" s="3" t="s">
        <v>9</v>
      </c>
      <c r="D378" s="15" t="s">
        <v>73</v>
      </c>
      <c r="E378" s="2"/>
      <c r="F378" s="2"/>
      <c r="G378" s="2"/>
      <c r="H378" s="2"/>
      <c r="I378" s="2"/>
      <c r="J378" s="2"/>
      <c r="K378" s="2"/>
      <c r="L378" s="2"/>
      <c r="M378" s="7" t="s">
        <v>30</v>
      </c>
      <c r="N378" s="2">
        <f t="shared" si="5"/>
        <v>0</v>
      </c>
      <c r="O378" s="71">
        <v>2810</v>
      </c>
    </row>
    <row r="379" spans="1:15" x14ac:dyDescent="0.25">
      <c r="A379" s="2">
        <v>7821</v>
      </c>
      <c r="B379" s="3" t="s">
        <v>8</v>
      </c>
      <c r="C379" s="3" t="s">
        <v>9</v>
      </c>
      <c r="D379" s="15" t="s">
        <v>75</v>
      </c>
      <c r="E379" s="2"/>
      <c r="F379" s="2"/>
      <c r="G379" s="2"/>
      <c r="H379" s="2"/>
      <c r="I379" s="2"/>
      <c r="J379" s="2"/>
      <c r="K379" s="2"/>
      <c r="L379" s="2"/>
      <c r="M379" s="7" t="s">
        <v>30</v>
      </c>
      <c r="N379" s="2">
        <f t="shared" si="5"/>
        <v>0</v>
      </c>
      <c r="O379" s="71">
        <v>2810</v>
      </c>
    </row>
    <row r="380" spans="1:15" x14ac:dyDescent="0.25">
      <c r="A380" s="2">
        <v>7822</v>
      </c>
      <c r="B380" s="3" t="s">
        <v>8</v>
      </c>
      <c r="C380" s="3" t="s">
        <v>9</v>
      </c>
      <c r="D380" s="15" t="s">
        <v>73</v>
      </c>
      <c r="E380" s="2"/>
      <c r="F380" s="2"/>
      <c r="G380" s="2"/>
      <c r="H380" s="2"/>
      <c r="I380" s="2"/>
      <c r="J380" s="2"/>
      <c r="K380" s="2"/>
      <c r="L380" s="2"/>
      <c r="M380" s="7" t="s">
        <v>30</v>
      </c>
      <c r="N380" s="2">
        <f t="shared" si="5"/>
        <v>0</v>
      </c>
      <c r="O380" s="71">
        <v>2810</v>
      </c>
    </row>
    <row r="381" spans="1:15" x14ac:dyDescent="0.25">
      <c r="A381" s="2">
        <v>7823</v>
      </c>
      <c r="B381" s="3" t="s">
        <v>8</v>
      </c>
      <c r="C381" s="3" t="s">
        <v>9</v>
      </c>
      <c r="D381" s="15" t="s">
        <v>74</v>
      </c>
      <c r="E381" s="2"/>
      <c r="F381" s="2"/>
      <c r="G381" s="2"/>
      <c r="H381" s="2"/>
      <c r="I381" s="2"/>
      <c r="J381" s="2"/>
      <c r="K381" s="2"/>
      <c r="L381" s="2"/>
      <c r="M381" s="7" t="s">
        <v>30</v>
      </c>
      <c r="N381" s="2">
        <f t="shared" si="5"/>
        <v>0</v>
      </c>
      <c r="O381" s="71">
        <v>2810</v>
      </c>
    </row>
    <row r="382" spans="1:15" x14ac:dyDescent="0.25">
      <c r="A382" s="2"/>
      <c r="B382" s="3"/>
      <c r="C382" s="3"/>
      <c r="D382" s="15"/>
      <c r="E382" s="2"/>
      <c r="F382" s="2"/>
      <c r="G382" s="2"/>
      <c r="H382" s="2"/>
      <c r="I382" s="2"/>
      <c r="J382" s="2"/>
      <c r="K382" s="2"/>
      <c r="L382" s="2"/>
      <c r="M382" s="2"/>
      <c r="N382" s="2">
        <f t="shared" si="5"/>
        <v>0</v>
      </c>
      <c r="O382" s="71"/>
    </row>
    <row r="383" spans="1:15" x14ac:dyDescent="0.25">
      <c r="A383" s="2"/>
      <c r="B383" s="3"/>
      <c r="C383" s="3"/>
      <c r="D383" s="15"/>
      <c r="E383" s="2"/>
      <c r="F383" s="2"/>
      <c r="G383" s="2"/>
      <c r="H383" s="2"/>
      <c r="I383" s="2"/>
      <c r="J383" s="2"/>
      <c r="K383" s="2"/>
      <c r="L383" s="2"/>
      <c r="M383" s="2"/>
      <c r="N383" s="2">
        <f t="shared" si="5"/>
        <v>0</v>
      </c>
      <c r="O383" s="71"/>
    </row>
    <row r="384" spans="1:15" x14ac:dyDescent="0.25">
      <c r="A384" s="2"/>
      <c r="B384" s="3"/>
      <c r="C384" s="3"/>
      <c r="D384" s="15"/>
      <c r="E384" s="2"/>
      <c r="F384" s="2"/>
      <c r="G384" s="2"/>
      <c r="H384" s="2"/>
      <c r="I384" s="2"/>
      <c r="J384" s="2"/>
      <c r="K384" s="2"/>
      <c r="L384" s="2"/>
      <c r="M384" s="2"/>
      <c r="N384" s="2">
        <f t="shared" si="5"/>
        <v>0</v>
      </c>
      <c r="O384" s="71"/>
    </row>
    <row r="385" spans="1:15" x14ac:dyDescent="0.25">
      <c r="A385" s="2"/>
      <c r="B385" s="3"/>
      <c r="C385" s="3"/>
      <c r="D385" s="15"/>
      <c r="E385" s="2"/>
      <c r="F385" s="2"/>
      <c r="G385" s="2"/>
      <c r="H385" s="2"/>
      <c r="I385" s="2"/>
      <c r="J385" s="2"/>
      <c r="K385" s="2"/>
      <c r="L385" s="2"/>
      <c r="M385" s="2"/>
      <c r="N385" s="2">
        <f t="shared" si="5"/>
        <v>0</v>
      </c>
      <c r="O385" s="71"/>
    </row>
    <row r="386" spans="1:15" x14ac:dyDescent="0.25">
      <c r="A386" s="2"/>
      <c r="B386" s="3"/>
      <c r="C386" s="3"/>
      <c r="D386" s="15"/>
      <c r="E386" s="2"/>
      <c r="F386" s="2"/>
      <c r="G386" s="2"/>
      <c r="H386" s="2"/>
      <c r="I386" s="2"/>
      <c r="J386" s="2"/>
      <c r="K386" s="2"/>
      <c r="L386" s="2"/>
      <c r="M386" s="2"/>
      <c r="N386" s="2">
        <f t="shared" si="5"/>
        <v>0</v>
      </c>
      <c r="O386" s="71"/>
    </row>
    <row r="387" spans="1:15" x14ac:dyDescent="0.25">
      <c r="A387" s="2"/>
      <c r="B387" s="3"/>
      <c r="C387" s="3"/>
      <c r="D387" s="15"/>
      <c r="E387" s="2"/>
      <c r="F387" s="2"/>
      <c r="G387" s="2"/>
      <c r="H387" s="2"/>
      <c r="I387" s="2"/>
      <c r="J387" s="2"/>
      <c r="K387" s="2"/>
      <c r="L387" s="2"/>
      <c r="M387" s="2"/>
      <c r="N387" s="2">
        <f t="shared" si="5"/>
        <v>0</v>
      </c>
      <c r="O387" s="71"/>
    </row>
    <row r="388" spans="1:15" x14ac:dyDescent="0.25">
      <c r="A388" s="2"/>
      <c r="B388" s="3"/>
      <c r="C388" s="3"/>
      <c r="D388" s="15"/>
      <c r="E388" s="2"/>
      <c r="F388" s="2"/>
      <c r="G388" s="2"/>
      <c r="H388" s="2"/>
      <c r="I388" s="2"/>
      <c r="J388" s="2"/>
      <c r="K388" s="2"/>
      <c r="L388" s="2"/>
      <c r="M388" s="2"/>
      <c r="N388" s="2">
        <f t="shared" si="5"/>
        <v>0</v>
      </c>
      <c r="O388" s="71"/>
    </row>
    <row r="389" spans="1:15" x14ac:dyDescent="0.25">
      <c r="A389" s="2"/>
      <c r="B389" s="3"/>
      <c r="C389" s="3"/>
      <c r="D389" s="15"/>
      <c r="E389" s="2"/>
      <c r="F389" s="2"/>
      <c r="G389" s="2"/>
      <c r="H389" s="2"/>
      <c r="I389" s="2"/>
      <c r="J389" s="2"/>
      <c r="K389" s="2"/>
      <c r="L389" s="2"/>
      <c r="M389" s="2"/>
      <c r="N389" s="2">
        <f t="shared" si="5"/>
        <v>0</v>
      </c>
      <c r="O389" s="71"/>
    </row>
    <row r="390" spans="1:15" x14ac:dyDescent="0.25">
      <c r="A390" s="2"/>
      <c r="B390" s="3"/>
      <c r="C390" s="3"/>
      <c r="D390" s="15"/>
      <c r="E390" s="2"/>
      <c r="F390" s="2"/>
      <c r="G390" s="2"/>
      <c r="H390" s="2"/>
      <c r="I390" s="2"/>
      <c r="J390" s="2"/>
      <c r="K390" s="2"/>
      <c r="L390" s="2"/>
      <c r="M390" s="2"/>
      <c r="N390" s="2">
        <f t="shared" ref="N390:N453" si="6">SUM(E390,G390,J390,)</f>
        <v>0</v>
      </c>
      <c r="O390" s="71"/>
    </row>
    <row r="391" spans="1:15" x14ac:dyDescent="0.25">
      <c r="A391" s="2"/>
      <c r="B391" s="3"/>
      <c r="C391" s="3"/>
      <c r="D391" s="15"/>
      <c r="E391" s="2"/>
      <c r="F391" s="2"/>
      <c r="G391" s="2"/>
      <c r="H391" s="2"/>
      <c r="I391" s="2"/>
      <c r="J391" s="2"/>
      <c r="K391" s="2"/>
      <c r="L391" s="2"/>
      <c r="M391" s="2"/>
      <c r="N391" s="2">
        <f t="shared" si="6"/>
        <v>0</v>
      </c>
      <c r="O391" s="71"/>
    </row>
    <row r="392" spans="1:15" x14ac:dyDescent="0.25">
      <c r="A392" s="2"/>
      <c r="B392" s="3"/>
      <c r="C392" s="3"/>
      <c r="D392" s="15"/>
      <c r="E392" s="2"/>
      <c r="F392" s="2"/>
      <c r="G392" s="2"/>
      <c r="H392" s="2"/>
      <c r="I392" s="2"/>
      <c r="J392" s="2"/>
      <c r="K392" s="2"/>
      <c r="L392" s="2"/>
      <c r="M392" s="2"/>
      <c r="N392" s="2">
        <f t="shared" si="6"/>
        <v>0</v>
      </c>
      <c r="O392" s="71"/>
    </row>
    <row r="393" spans="1:15" x14ac:dyDescent="0.25">
      <c r="A393" s="2"/>
      <c r="B393" s="3"/>
      <c r="C393" s="3"/>
      <c r="D393" s="15"/>
      <c r="E393" s="2"/>
      <c r="F393" s="2"/>
      <c r="G393" s="2"/>
      <c r="H393" s="2"/>
      <c r="I393" s="2"/>
      <c r="J393" s="2"/>
      <c r="K393" s="2"/>
      <c r="L393" s="2"/>
      <c r="M393" s="2"/>
      <c r="N393" s="2">
        <f t="shared" si="6"/>
        <v>0</v>
      </c>
      <c r="O393" s="71"/>
    </row>
    <row r="394" spans="1:15" x14ac:dyDescent="0.25">
      <c r="A394" s="2"/>
      <c r="B394" s="3"/>
      <c r="C394" s="3"/>
      <c r="D394" s="15"/>
      <c r="E394" s="2"/>
      <c r="F394" s="2"/>
      <c r="G394" s="2"/>
      <c r="H394" s="2"/>
      <c r="I394" s="2"/>
      <c r="J394" s="2"/>
      <c r="K394" s="2"/>
      <c r="L394" s="2"/>
      <c r="M394" s="2"/>
      <c r="N394" s="2">
        <f t="shared" si="6"/>
        <v>0</v>
      </c>
      <c r="O394" s="71"/>
    </row>
    <row r="395" spans="1:15" x14ac:dyDescent="0.25">
      <c r="A395" s="2"/>
      <c r="B395" s="3"/>
      <c r="C395" s="3"/>
      <c r="D395" s="15"/>
      <c r="E395" s="2"/>
      <c r="F395" s="2"/>
      <c r="G395" s="2"/>
      <c r="H395" s="2"/>
      <c r="I395" s="2"/>
      <c r="J395" s="2"/>
      <c r="K395" s="2"/>
      <c r="L395" s="2"/>
      <c r="M395" s="2"/>
      <c r="N395" s="2">
        <f t="shared" si="6"/>
        <v>0</v>
      </c>
      <c r="O395" s="71"/>
    </row>
    <row r="396" spans="1:15" x14ac:dyDescent="0.25">
      <c r="A396" s="2"/>
      <c r="B396" s="3"/>
      <c r="C396" s="3"/>
      <c r="D396" s="15"/>
      <c r="E396" s="2"/>
      <c r="F396" s="2"/>
      <c r="G396" s="2"/>
      <c r="H396" s="2"/>
      <c r="I396" s="2"/>
      <c r="J396" s="2"/>
      <c r="K396" s="2"/>
      <c r="L396" s="2"/>
      <c r="M396" s="2"/>
      <c r="N396" s="2">
        <f t="shared" si="6"/>
        <v>0</v>
      </c>
      <c r="O396" s="71"/>
    </row>
    <row r="397" spans="1:15" x14ac:dyDescent="0.25">
      <c r="A397" s="2"/>
      <c r="B397" s="3"/>
      <c r="C397" s="3"/>
      <c r="D397" s="15"/>
      <c r="E397" s="2"/>
      <c r="F397" s="2"/>
      <c r="G397" s="2"/>
      <c r="H397" s="2"/>
      <c r="I397" s="2"/>
      <c r="J397" s="2"/>
      <c r="K397" s="2"/>
      <c r="L397" s="2"/>
      <c r="M397" s="2"/>
      <c r="N397" s="2">
        <f t="shared" si="6"/>
        <v>0</v>
      </c>
      <c r="O397" s="71"/>
    </row>
    <row r="398" spans="1:15" x14ac:dyDescent="0.25">
      <c r="A398" s="2"/>
      <c r="B398" s="3"/>
      <c r="C398" s="3"/>
      <c r="D398" s="15"/>
      <c r="E398" s="2"/>
      <c r="F398" s="2"/>
      <c r="G398" s="2"/>
      <c r="H398" s="2"/>
      <c r="I398" s="2"/>
      <c r="J398" s="2"/>
      <c r="K398" s="2"/>
      <c r="L398" s="2"/>
      <c r="M398" s="2"/>
      <c r="N398" s="2">
        <f t="shared" si="6"/>
        <v>0</v>
      </c>
      <c r="O398" s="71"/>
    </row>
    <row r="399" spans="1:15" x14ac:dyDescent="0.25">
      <c r="A399" s="2"/>
      <c r="B399" s="3"/>
      <c r="C399" s="3"/>
      <c r="D399" s="15"/>
      <c r="E399" s="2"/>
      <c r="F399" s="2"/>
      <c r="G399" s="2"/>
      <c r="H399" s="2"/>
      <c r="I399" s="2"/>
      <c r="J399" s="2"/>
      <c r="K399" s="2"/>
      <c r="L399" s="2"/>
      <c r="M399" s="2"/>
      <c r="N399" s="2">
        <f t="shared" si="6"/>
        <v>0</v>
      </c>
      <c r="O399" s="71"/>
    </row>
    <row r="400" spans="1:15" x14ac:dyDescent="0.25">
      <c r="A400" s="2"/>
      <c r="B400" s="3"/>
      <c r="C400" s="3"/>
      <c r="D400" s="15"/>
      <c r="E400" s="2"/>
      <c r="F400" s="2"/>
      <c r="G400" s="2"/>
      <c r="H400" s="2"/>
      <c r="I400" s="2"/>
      <c r="J400" s="2"/>
      <c r="K400" s="2"/>
      <c r="L400" s="2"/>
      <c r="M400" s="2"/>
      <c r="N400" s="2">
        <f t="shared" si="6"/>
        <v>0</v>
      </c>
      <c r="O400" s="71"/>
    </row>
    <row r="401" spans="1:15" x14ac:dyDescent="0.25">
      <c r="A401" s="2"/>
      <c r="B401" s="3"/>
      <c r="C401" s="3"/>
      <c r="D401" s="15"/>
      <c r="E401" s="2"/>
      <c r="F401" s="2"/>
      <c r="G401" s="2"/>
      <c r="H401" s="2"/>
      <c r="I401" s="2"/>
      <c r="J401" s="2"/>
      <c r="K401" s="2"/>
      <c r="L401" s="2"/>
      <c r="M401" s="2"/>
      <c r="N401" s="2">
        <f t="shared" si="6"/>
        <v>0</v>
      </c>
      <c r="O401" s="71"/>
    </row>
    <row r="402" spans="1:15" x14ac:dyDescent="0.25">
      <c r="A402" s="2"/>
      <c r="B402" s="3"/>
      <c r="C402" s="3"/>
      <c r="D402" s="15"/>
      <c r="E402" s="2"/>
      <c r="F402" s="2"/>
      <c r="G402" s="2"/>
      <c r="H402" s="2"/>
      <c r="I402" s="2"/>
      <c r="J402" s="2"/>
      <c r="K402" s="2"/>
      <c r="L402" s="2"/>
      <c r="M402" s="2"/>
      <c r="N402" s="2">
        <f t="shared" si="6"/>
        <v>0</v>
      </c>
      <c r="O402" s="71"/>
    </row>
    <row r="403" spans="1:15" x14ac:dyDescent="0.25">
      <c r="A403" s="2"/>
      <c r="B403" s="3"/>
      <c r="C403" s="3"/>
      <c r="D403" s="15"/>
      <c r="E403" s="2"/>
      <c r="F403" s="2"/>
      <c r="G403" s="2"/>
      <c r="H403" s="2"/>
      <c r="I403" s="2"/>
      <c r="J403" s="2"/>
      <c r="K403" s="2"/>
      <c r="L403" s="2"/>
      <c r="M403" s="2"/>
      <c r="N403" s="2">
        <f t="shared" si="6"/>
        <v>0</v>
      </c>
      <c r="O403" s="71"/>
    </row>
    <row r="404" spans="1:15" x14ac:dyDescent="0.25">
      <c r="A404" s="2"/>
      <c r="B404" s="3"/>
      <c r="C404" s="3"/>
      <c r="D404" s="15"/>
      <c r="E404" s="2"/>
      <c r="F404" s="2"/>
      <c r="G404" s="2"/>
      <c r="H404" s="2"/>
      <c r="I404" s="2"/>
      <c r="J404" s="2"/>
      <c r="K404" s="2"/>
      <c r="L404" s="2"/>
      <c r="M404" s="2"/>
      <c r="N404" s="2">
        <f t="shared" si="6"/>
        <v>0</v>
      </c>
      <c r="O404" s="71"/>
    </row>
    <row r="405" spans="1:15" x14ac:dyDescent="0.25">
      <c r="A405" s="2"/>
      <c r="B405" s="3"/>
      <c r="C405" s="3"/>
      <c r="D405" s="15"/>
      <c r="E405" s="2"/>
      <c r="F405" s="2"/>
      <c r="G405" s="2"/>
      <c r="H405" s="2"/>
      <c r="I405" s="2"/>
      <c r="J405" s="2"/>
      <c r="K405" s="2"/>
      <c r="L405" s="2"/>
      <c r="M405" s="2"/>
      <c r="N405" s="2">
        <f t="shared" si="6"/>
        <v>0</v>
      </c>
      <c r="O405" s="71"/>
    </row>
    <row r="406" spans="1:15" x14ac:dyDescent="0.25">
      <c r="A406" s="2"/>
      <c r="B406" s="3"/>
      <c r="C406" s="3"/>
      <c r="D406" s="15"/>
      <c r="E406" s="2"/>
      <c r="F406" s="2"/>
      <c r="G406" s="2"/>
      <c r="H406" s="2"/>
      <c r="I406" s="2"/>
      <c r="J406" s="2"/>
      <c r="K406" s="2"/>
      <c r="L406" s="2"/>
      <c r="M406" s="2"/>
      <c r="N406" s="2">
        <f t="shared" si="6"/>
        <v>0</v>
      </c>
      <c r="O406" s="71"/>
    </row>
    <row r="407" spans="1:15" x14ac:dyDescent="0.25">
      <c r="A407" s="2"/>
      <c r="B407" s="3"/>
      <c r="C407" s="3"/>
      <c r="D407" s="15"/>
      <c r="E407" s="2"/>
      <c r="F407" s="2"/>
      <c r="G407" s="2"/>
      <c r="H407" s="2"/>
      <c r="I407" s="2"/>
      <c r="J407" s="2"/>
      <c r="K407" s="2"/>
      <c r="L407" s="2"/>
      <c r="M407" s="2"/>
      <c r="N407" s="2">
        <f t="shared" si="6"/>
        <v>0</v>
      </c>
      <c r="O407" s="71"/>
    </row>
    <row r="408" spans="1:15" x14ac:dyDescent="0.25">
      <c r="A408" s="2"/>
      <c r="B408" s="3"/>
      <c r="C408" s="3"/>
      <c r="D408" s="15"/>
      <c r="E408" s="2"/>
      <c r="F408" s="2"/>
      <c r="G408" s="2"/>
      <c r="H408" s="2"/>
      <c r="I408" s="2"/>
      <c r="J408" s="2"/>
      <c r="K408" s="2"/>
      <c r="L408" s="2"/>
      <c r="M408" s="2"/>
      <c r="N408" s="2">
        <f t="shared" si="6"/>
        <v>0</v>
      </c>
      <c r="O408" s="71"/>
    </row>
    <row r="409" spans="1:15" x14ac:dyDescent="0.25">
      <c r="A409" s="2"/>
      <c r="B409" s="3"/>
      <c r="C409" s="3"/>
      <c r="D409" s="15"/>
      <c r="E409" s="2"/>
      <c r="F409" s="2"/>
      <c r="G409" s="2"/>
      <c r="H409" s="2"/>
      <c r="I409" s="2"/>
      <c r="J409" s="2"/>
      <c r="K409" s="2"/>
      <c r="L409" s="2"/>
      <c r="M409" s="2"/>
      <c r="N409" s="2">
        <f t="shared" si="6"/>
        <v>0</v>
      </c>
      <c r="O409" s="71"/>
    </row>
    <row r="410" spans="1:15" x14ac:dyDescent="0.25">
      <c r="A410" s="2"/>
      <c r="B410" s="3"/>
      <c r="C410" s="3"/>
      <c r="D410" s="15"/>
      <c r="E410" s="2"/>
      <c r="F410" s="2"/>
      <c r="G410" s="2"/>
      <c r="H410" s="2"/>
      <c r="I410" s="2"/>
      <c r="J410" s="2"/>
      <c r="K410" s="2"/>
      <c r="L410" s="2"/>
      <c r="M410" s="2"/>
      <c r="N410" s="2">
        <f t="shared" si="6"/>
        <v>0</v>
      </c>
      <c r="O410" s="71"/>
    </row>
    <row r="411" spans="1:15" x14ac:dyDescent="0.25">
      <c r="A411" s="2"/>
      <c r="B411" s="3"/>
      <c r="C411" s="3"/>
      <c r="D411" s="15"/>
      <c r="E411" s="2"/>
      <c r="F411" s="2"/>
      <c r="G411" s="2"/>
      <c r="H411" s="2"/>
      <c r="I411" s="2"/>
      <c r="J411" s="2"/>
      <c r="K411" s="2"/>
      <c r="L411" s="2"/>
      <c r="M411" s="2"/>
      <c r="N411" s="2">
        <f t="shared" si="6"/>
        <v>0</v>
      </c>
      <c r="O411" s="71"/>
    </row>
    <row r="412" spans="1:15" x14ac:dyDescent="0.25">
      <c r="A412" s="2"/>
      <c r="B412" s="3"/>
      <c r="C412" s="3"/>
      <c r="D412" s="15"/>
      <c r="E412" s="2"/>
      <c r="F412" s="2"/>
      <c r="G412" s="2"/>
      <c r="H412" s="2"/>
      <c r="I412" s="2"/>
      <c r="J412" s="2"/>
      <c r="K412" s="2"/>
      <c r="L412" s="2"/>
      <c r="M412" s="2"/>
      <c r="N412" s="2">
        <f t="shared" si="6"/>
        <v>0</v>
      </c>
      <c r="O412" s="71"/>
    </row>
    <row r="413" spans="1:15" x14ac:dyDescent="0.25">
      <c r="A413" s="2"/>
      <c r="B413" s="3"/>
      <c r="C413" s="3"/>
      <c r="D413" s="15"/>
      <c r="E413" s="2"/>
      <c r="F413" s="2"/>
      <c r="G413" s="2"/>
      <c r="H413" s="2"/>
      <c r="I413" s="2"/>
      <c r="J413" s="2"/>
      <c r="K413" s="2"/>
      <c r="L413" s="2"/>
      <c r="M413" s="2"/>
      <c r="N413" s="2">
        <f t="shared" si="6"/>
        <v>0</v>
      </c>
      <c r="O413" s="71"/>
    </row>
    <row r="414" spans="1:15" x14ac:dyDescent="0.25">
      <c r="A414" s="2"/>
      <c r="B414" s="3"/>
      <c r="C414" s="3"/>
      <c r="D414" s="15"/>
      <c r="E414" s="2"/>
      <c r="F414" s="2"/>
      <c r="G414" s="2"/>
      <c r="H414" s="2"/>
      <c r="I414" s="2"/>
      <c r="J414" s="2"/>
      <c r="K414" s="2"/>
      <c r="L414" s="2"/>
      <c r="M414" s="2"/>
      <c r="N414" s="2">
        <f t="shared" si="6"/>
        <v>0</v>
      </c>
      <c r="O414" s="71"/>
    </row>
    <row r="415" spans="1:15" x14ac:dyDescent="0.25">
      <c r="A415" s="2"/>
      <c r="B415" s="3"/>
      <c r="C415" s="3"/>
      <c r="D415" s="15"/>
      <c r="E415" s="2"/>
      <c r="F415" s="2"/>
      <c r="G415" s="2"/>
      <c r="H415" s="2"/>
      <c r="I415" s="2"/>
      <c r="J415" s="2"/>
      <c r="K415" s="2"/>
      <c r="L415" s="2"/>
      <c r="M415" s="2"/>
      <c r="N415" s="2">
        <f t="shared" si="6"/>
        <v>0</v>
      </c>
      <c r="O415" s="71"/>
    </row>
    <row r="416" spans="1:15" x14ac:dyDescent="0.25">
      <c r="A416" s="2"/>
      <c r="B416" s="3"/>
      <c r="C416" s="3"/>
      <c r="D416" s="15"/>
      <c r="E416" s="2"/>
      <c r="F416" s="2"/>
      <c r="G416" s="2"/>
      <c r="H416" s="2"/>
      <c r="I416" s="2"/>
      <c r="J416" s="2"/>
      <c r="K416" s="2"/>
      <c r="L416" s="2"/>
      <c r="M416" s="2"/>
      <c r="N416" s="2">
        <f t="shared" si="6"/>
        <v>0</v>
      </c>
      <c r="O416" s="71"/>
    </row>
    <row r="417" spans="1:15" x14ac:dyDescent="0.25">
      <c r="A417" s="2"/>
      <c r="B417" s="3"/>
      <c r="C417" s="3"/>
      <c r="D417" s="15"/>
      <c r="E417" s="2"/>
      <c r="F417" s="2"/>
      <c r="G417" s="2"/>
      <c r="H417" s="2"/>
      <c r="I417" s="2"/>
      <c r="J417" s="2"/>
      <c r="K417" s="2"/>
      <c r="L417" s="2"/>
      <c r="M417" s="2"/>
      <c r="N417" s="2">
        <f t="shared" si="6"/>
        <v>0</v>
      </c>
      <c r="O417" s="71"/>
    </row>
    <row r="418" spans="1:15" x14ac:dyDescent="0.25">
      <c r="A418" s="2"/>
      <c r="B418" s="3"/>
      <c r="C418" s="3"/>
      <c r="D418" s="15"/>
      <c r="E418" s="2"/>
      <c r="F418" s="2"/>
      <c r="G418" s="2"/>
      <c r="H418" s="2"/>
      <c r="I418" s="2"/>
      <c r="J418" s="2"/>
      <c r="K418" s="2"/>
      <c r="L418" s="2"/>
      <c r="M418" s="2"/>
      <c r="N418" s="2">
        <f t="shared" si="6"/>
        <v>0</v>
      </c>
      <c r="O418" s="71"/>
    </row>
    <row r="419" spans="1:15" x14ac:dyDescent="0.25">
      <c r="A419" s="2"/>
      <c r="B419" s="3"/>
      <c r="C419" s="3"/>
      <c r="D419" s="15"/>
      <c r="E419" s="2"/>
      <c r="F419" s="2"/>
      <c r="G419" s="2"/>
      <c r="H419" s="2"/>
      <c r="I419" s="2"/>
      <c r="J419" s="2"/>
      <c r="K419" s="2"/>
      <c r="L419" s="2"/>
      <c r="M419" s="2"/>
      <c r="N419" s="2">
        <f t="shared" si="6"/>
        <v>0</v>
      </c>
      <c r="O419" s="71"/>
    </row>
    <row r="420" spans="1:15" x14ac:dyDescent="0.25">
      <c r="A420" s="2"/>
      <c r="B420" s="3"/>
      <c r="C420" s="3"/>
      <c r="D420" s="15"/>
      <c r="E420" s="2"/>
      <c r="F420" s="2"/>
      <c r="G420" s="2"/>
      <c r="H420" s="2"/>
      <c r="I420" s="2"/>
      <c r="J420" s="2"/>
      <c r="K420" s="2"/>
      <c r="L420" s="2"/>
      <c r="M420" s="2"/>
      <c r="N420" s="2">
        <f t="shared" si="6"/>
        <v>0</v>
      </c>
      <c r="O420" s="71"/>
    </row>
    <row r="421" spans="1:15" x14ac:dyDescent="0.25">
      <c r="A421" s="2"/>
      <c r="B421" s="3"/>
      <c r="C421" s="3"/>
      <c r="D421" s="15"/>
      <c r="E421" s="2"/>
      <c r="F421" s="2"/>
      <c r="G421" s="2"/>
      <c r="H421" s="2"/>
      <c r="I421" s="2"/>
      <c r="J421" s="2"/>
      <c r="K421" s="2"/>
      <c r="L421" s="2"/>
      <c r="M421" s="2"/>
      <c r="N421" s="2">
        <f t="shared" si="6"/>
        <v>0</v>
      </c>
      <c r="O421" s="71"/>
    </row>
    <row r="422" spans="1:15" x14ac:dyDescent="0.25">
      <c r="A422" s="2"/>
      <c r="B422" s="3"/>
      <c r="C422" s="3"/>
      <c r="D422" s="15"/>
      <c r="E422" s="2"/>
      <c r="F422" s="2"/>
      <c r="G422" s="2"/>
      <c r="H422" s="2"/>
      <c r="I422" s="2"/>
      <c r="J422" s="2"/>
      <c r="K422" s="2"/>
      <c r="L422" s="2"/>
      <c r="M422" s="2"/>
      <c r="N422" s="2">
        <f t="shared" si="6"/>
        <v>0</v>
      </c>
      <c r="O422" s="71"/>
    </row>
    <row r="423" spans="1:15" x14ac:dyDescent="0.25">
      <c r="A423" s="2"/>
      <c r="B423" s="3"/>
      <c r="C423" s="3"/>
      <c r="D423" s="15"/>
      <c r="E423" s="2"/>
      <c r="F423" s="2"/>
      <c r="G423" s="2"/>
      <c r="H423" s="2"/>
      <c r="I423" s="2"/>
      <c r="J423" s="2"/>
      <c r="K423" s="2"/>
      <c r="L423" s="2"/>
      <c r="M423" s="2"/>
      <c r="N423" s="2">
        <f t="shared" si="6"/>
        <v>0</v>
      </c>
      <c r="O423" s="71"/>
    </row>
    <row r="424" spans="1:15" x14ac:dyDescent="0.25">
      <c r="A424" s="2"/>
      <c r="B424" s="3"/>
      <c r="C424" s="3"/>
      <c r="D424" s="15"/>
      <c r="E424" s="2"/>
      <c r="F424" s="2"/>
      <c r="G424" s="2"/>
      <c r="H424" s="2"/>
      <c r="I424" s="2"/>
      <c r="J424" s="2"/>
      <c r="K424" s="2"/>
      <c r="L424" s="2"/>
      <c r="M424" s="2"/>
      <c r="N424" s="2">
        <f t="shared" si="6"/>
        <v>0</v>
      </c>
      <c r="O424" s="71"/>
    </row>
    <row r="425" spans="1:15" x14ac:dyDescent="0.25">
      <c r="A425" s="2"/>
      <c r="B425" s="3"/>
      <c r="C425" s="3"/>
      <c r="D425" s="15"/>
      <c r="E425" s="2"/>
      <c r="F425" s="2"/>
      <c r="G425" s="2"/>
      <c r="H425" s="2"/>
      <c r="I425" s="2"/>
      <c r="J425" s="2"/>
      <c r="K425" s="2"/>
      <c r="L425" s="2"/>
      <c r="M425" s="2"/>
      <c r="N425" s="2">
        <f t="shared" si="6"/>
        <v>0</v>
      </c>
      <c r="O425" s="71"/>
    </row>
    <row r="426" spans="1:15" x14ac:dyDescent="0.25">
      <c r="A426" s="2"/>
      <c r="B426" s="3"/>
      <c r="C426" s="3"/>
      <c r="D426" s="15"/>
      <c r="E426" s="2"/>
      <c r="F426" s="2"/>
      <c r="G426" s="2"/>
      <c r="H426" s="2"/>
      <c r="I426" s="2"/>
      <c r="J426" s="2"/>
      <c r="K426" s="2"/>
      <c r="L426" s="2"/>
      <c r="M426" s="2"/>
      <c r="N426" s="2">
        <f t="shared" si="6"/>
        <v>0</v>
      </c>
      <c r="O426" s="71"/>
    </row>
    <row r="427" spans="1:15" x14ac:dyDescent="0.25">
      <c r="A427" s="2"/>
      <c r="B427" s="3"/>
      <c r="C427" s="3"/>
      <c r="D427" s="15"/>
      <c r="E427" s="2"/>
      <c r="F427" s="2"/>
      <c r="G427" s="2"/>
      <c r="H427" s="2"/>
      <c r="I427" s="2"/>
      <c r="J427" s="2"/>
      <c r="K427" s="2"/>
      <c r="L427" s="2"/>
      <c r="M427" s="2"/>
      <c r="N427" s="2">
        <f t="shared" si="6"/>
        <v>0</v>
      </c>
      <c r="O427" s="71"/>
    </row>
    <row r="428" spans="1:15" x14ac:dyDescent="0.25">
      <c r="A428" s="2"/>
      <c r="B428" s="3"/>
      <c r="C428" s="3"/>
      <c r="D428" s="15"/>
      <c r="E428" s="2"/>
      <c r="F428" s="2"/>
      <c r="G428" s="2"/>
      <c r="H428" s="2"/>
      <c r="I428" s="2"/>
      <c r="J428" s="2"/>
      <c r="K428" s="2"/>
      <c r="L428" s="2"/>
      <c r="M428" s="2"/>
      <c r="N428" s="2">
        <f t="shared" si="6"/>
        <v>0</v>
      </c>
      <c r="O428" s="71"/>
    </row>
    <row r="429" spans="1:15" x14ac:dyDescent="0.25">
      <c r="A429" s="2"/>
      <c r="B429" s="3"/>
      <c r="C429" s="3"/>
      <c r="D429" s="15"/>
      <c r="E429" s="2"/>
      <c r="F429" s="2"/>
      <c r="G429" s="2"/>
      <c r="H429" s="2"/>
      <c r="I429" s="2"/>
      <c r="J429" s="2"/>
      <c r="K429" s="2"/>
      <c r="L429" s="2"/>
      <c r="M429" s="2"/>
      <c r="N429" s="2">
        <f t="shared" si="6"/>
        <v>0</v>
      </c>
      <c r="O429" s="71"/>
    </row>
    <row r="430" spans="1:15" x14ac:dyDescent="0.25">
      <c r="A430" s="2"/>
      <c r="B430" s="3"/>
      <c r="C430" s="3"/>
      <c r="D430" s="15"/>
      <c r="E430" s="2"/>
      <c r="F430" s="2"/>
      <c r="G430" s="2"/>
      <c r="H430" s="2"/>
      <c r="I430" s="2"/>
      <c r="J430" s="2"/>
      <c r="K430" s="2"/>
      <c r="L430" s="2"/>
      <c r="M430" s="2"/>
      <c r="N430" s="2">
        <f t="shared" si="6"/>
        <v>0</v>
      </c>
      <c r="O430" s="71"/>
    </row>
    <row r="431" spans="1:15" x14ac:dyDescent="0.25">
      <c r="A431" s="2"/>
      <c r="B431" s="3"/>
      <c r="C431" s="3"/>
      <c r="D431" s="15"/>
      <c r="E431" s="2"/>
      <c r="F431" s="2"/>
      <c r="G431" s="2"/>
      <c r="H431" s="2"/>
      <c r="I431" s="2"/>
      <c r="J431" s="2"/>
      <c r="K431" s="2"/>
      <c r="L431" s="2"/>
      <c r="M431" s="2"/>
      <c r="N431" s="2">
        <f t="shared" si="6"/>
        <v>0</v>
      </c>
      <c r="O431" s="71"/>
    </row>
    <row r="432" spans="1:15" x14ac:dyDescent="0.25">
      <c r="A432" s="2"/>
      <c r="B432" s="3"/>
      <c r="C432" s="3"/>
      <c r="D432" s="15"/>
      <c r="E432" s="2"/>
      <c r="F432" s="2"/>
      <c r="G432" s="2"/>
      <c r="H432" s="2"/>
      <c r="I432" s="2"/>
      <c r="J432" s="2"/>
      <c r="K432" s="2"/>
      <c r="L432" s="2"/>
      <c r="M432" s="2"/>
      <c r="N432" s="2">
        <f t="shared" si="6"/>
        <v>0</v>
      </c>
      <c r="O432" s="71"/>
    </row>
    <row r="433" spans="1:15" x14ac:dyDescent="0.25">
      <c r="A433" s="2"/>
      <c r="B433" s="3"/>
      <c r="C433" s="3"/>
      <c r="D433" s="15"/>
      <c r="E433" s="2"/>
      <c r="F433" s="2"/>
      <c r="G433" s="2"/>
      <c r="H433" s="2"/>
      <c r="I433" s="2"/>
      <c r="J433" s="2"/>
      <c r="K433" s="2"/>
      <c r="L433" s="2"/>
      <c r="M433" s="2"/>
      <c r="N433" s="2">
        <f t="shared" si="6"/>
        <v>0</v>
      </c>
      <c r="O433" s="71"/>
    </row>
    <row r="434" spans="1:15" x14ac:dyDescent="0.25">
      <c r="A434" s="2"/>
      <c r="B434" s="3"/>
      <c r="C434" s="3"/>
      <c r="D434" s="15"/>
      <c r="E434" s="2"/>
      <c r="F434" s="2"/>
      <c r="G434" s="2"/>
      <c r="H434" s="2"/>
      <c r="I434" s="2"/>
      <c r="J434" s="2"/>
      <c r="K434" s="2"/>
      <c r="L434" s="2"/>
      <c r="M434" s="2"/>
      <c r="N434" s="2">
        <f t="shared" si="6"/>
        <v>0</v>
      </c>
      <c r="O434" s="71"/>
    </row>
    <row r="435" spans="1:15" x14ac:dyDescent="0.25">
      <c r="A435" s="2"/>
      <c r="B435" s="3"/>
      <c r="C435" s="3"/>
      <c r="D435" s="15"/>
      <c r="E435" s="2"/>
      <c r="F435" s="2"/>
      <c r="G435" s="2"/>
      <c r="H435" s="2"/>
      <c r="I435" s="2"/>
      <c r="J435" s="2"/>
      <c r="K435" s="2"/>
      <c r="L435" s="2"/>
      <c r="M435" s="2"/>
      <c r="N435" s="2">
        <f t="shared" si="6"/>
        <v>0</v>
      </c>
      <c r="O435" s="71"/>
    </row>
    <row r="436" spans="1:15" x14ac:dyDescent="0.25">
      <c r="A436" s="2"/>
      <c r="B436" s="3"/>
      <c r="C436" s="3"/>
      <c r="D436" s="15"/>
      <c r="E436" s="2"/>
      <c r="F436" s="2"/>
      <c r="G436" s="2"/>
      <c r="H436" s="2"/>
      <c r="I436" s="2"/>
      <c r="J436" s="2"/>
      <c r="K436" s="2"/>
      <c r="L436" s="2"/>
      <c r="M436" s="2"/>
      <c r="N436" s="2">
        <f t="shared" si="6"/>
        <v>0</v>
      </c>
      <c r="O436" s="71"/>
    </row>
    <row r="437" spans="1:15" x14ac:dyDescent="0.25">
      <c r="A437" s="2"/>
      <c r="B437" s="3"/>
      <c r="C437" s="3"/>
      <c r="D437" s="15"/>
      <c r="E437" s="2"/>
      <c r="F437" s="2"/>
      <c r="G437" s="2"/>
      <c r="H437" s="2"/>
      <c r="I437" s="2"/>
      <c r="J437" s="2"/>
      <c r="K437" s="2"/>
      <c r="L437" s="2"/>
      <c r="M437" s="2"/>
      <c r="N437" s="2">
        <f t="shared" si="6"/>
        <v>0</v>
      </c>
      <c r="O437" s="71"/>
    </row>
    <row r="438" spans="1:15" x14ac:dyDescent="0.25">
      <c r="A438" s="2"/>
      <c r="B438" s="3"/>
      <c r="C438" s="3"/>
      <c r="D438" s="15"/>
      <c r="E438" s="2"/>
      <c r="F438" s="2"/>
      <c r="G438" s="2"/>
      <c r="H438" s="2"/>
      <c r="I438" s="2"/>
      <c r="J438" s="2"/>
      <c r="K438" s="2"/>
      <c r="L438" s="2"/>
      <c r="M438" s="2"/>
      <c r="N438" s="2">
        <f t="shared" si="6"/>
        <v>0</v>
      </c>
      <c r="O438" s="71"/>
    </row>
    <row r="439" spans="1:15" x14ac:dyDescent="0.25">
      <c r="A439" s="2"/>
      <c r="B439" s="3"/>
      <c r="C439" s="3"/>
      <c r="D439" s="15"/>
      <c r="E439" s="2"/>
      <c r="F439" s="2"/>
      <c r="G439" s="2"/>
      <c r="H439" s="2"/>
      <c r="I439" s="2"/>
      <c r="J439" s="2"/>
      <c r="K439" s="2"/>
      <c r="L439" s="2"/>
      <c r="M439" s="2"/>
      <c r="N439" s="2">
        <f t="shared" si="6"/>
        <v>0</v>
      </c>
      <c r="O439" s="71"/>
    </row>
    <row r="440" spans="1:15" x14ac:dyDescent="0.25">
      <c r="A440" s="2"/>
      <c r="B440" s="3"/>
      <c r="C440" s="3"/>
      <c r="D440" s="15"/>
      <c r="E440" s="2"/>
      <c r="F440" s="2"/>
      <c r="G440" s="2"/>
      <c r="H440" s="2"/>
      <c r="I440" s="2"/>
      <c r="J440" s="2"/>
      <c r="K440" s="2"/>
      <c r="L440" s="2"/>
      <c r="M440" s="2"/>
      <c r="N440" s="2">
        <f t="shared" si="6"/>
        <v>0</v>
      </c>
      <c r="O440" s="71"/>
    </row>
    <row r="441" spans="1:15" x14ac:dyDescent="0.25">
      <c r="A441" s="2"/>
      <c r="B441" s="3"/>
      <c r="C441" s="3"/>
      <c r="D441" s="15"/>
      <c r="E441" s="2"/>
      <c r="F441" s="2"/>
      <c r="G441" s="2"/>
      <c r="H441" s="2"/>
      <c r="I441" s="2"/>
      <c r="J441" s="2"/>
      <c r="K441" s="2"/>
      <c r="L441" s="2"/>
      <c r="M441" s="2"/>
      <c r="N441" s="2">
        <f t="shared" si="6"/>
        <v>0</v>
      </c>
      <c r="O441" s="71"/>
    </row>
    <row r="442" spans="1:15" x14ac:dyDescent="0.25">
      <c r="A442" s="2"/>
      <c r="B442" s="3"/>
      <c r="C442" s="3"/>
      <c r="D442" s="15"/>
      <c r="E442" s="2"/>
      <c r="F442" s="2"/>
      <c r="G442" s="2"/>
      <c r="H442" s="2"/>
      <c r="I442" s="2"/>
      <c r="J442" s="2"/>
      <c r="K442" s="2"/>
      <c r="L442" s="2"/>
      <c r="M442" s="2"/>
      <c r="N442" s="2">
        <f t="shared" si="6"/>
        <v>0</v>
      </c>
      <c r="O442" s="71"/>
    </row>
    <row r="443" spans="1:15" x14ac:dyDescent="0.25">
      <c r="A443" s="2"/>
      <c r="B443" s="3"/>
      <c r="C443" s="3"/>
      <c r="D443" s="15"/>
      <c r="E443" s="2"/>
      <c r="F443" s="2"/>
      <c r="G443" s="2"/>
      <c r="H443" s="2"/>
      <c r="I443" s="2"/>
      <c r="J443" s="2"/>
      <c r="K443" s="2"/>
      <c r="L443" s="2"/>
      <c r="M443" s="2"/>
      <c r="N443" s="2">
        <f t="shared" si="6"/>
        <v>0</v>
      </c>
      <c r="O443" s="71"/>
    </row>
    <row r="444" spans="1:15" x14ac:dyDescent="0.25">
      <c r="A444" s="2"/>
      <c r="B444" s="3"/>
      <c r="C444" s="3"/>
      <c r="D444" s="15"/>
      <c r="E444" s="2"/>
      <c r="F444" s="2"/>
      <c r="G444" s="2"/>
      <c r="H444" s="2"/>
      <c r="I444" s="2"/>
      <c r="J444" s="2"/>
      <c r="K444" s="2"/>
      <c r="L444" s="2"/>
      <c r="M444" s="2"/>
      <c r="N444" s="2">
        <f t="shared" si="6"/>
        <v>0</v>
      </c>
      <c r="O444" s="71"/>
    </row>
    <row r="445" spans="1:15" x14ac:dyDescent="0.25">
      <c r="A445" s="2"/>
      <c r="B445" s="3"/>
      <c r="C445" s="3"/>
      <c r="D445" s="15"/>
      <c r="E445" s="2"/>
      <c r="F445" s="2"/>
      <c r="G445" s="2"/>
      <c r="H445" s="2"/>
      <c r="I445" s="2"/>
      <c r="J445" s="2"/>
      <c r="K445" s="2"/>
      <c r="L445" s="2"/>
      <c r="M445" s="2"/>
      <c r="N445" s="2">
        <f t="shared" si="6"/>
        <v>0</v>
      </c>
      <c r="O445" s="71"/>
    </row>
    <row r="446" spans="1:15" x14ac:dyDescent="0.25">
      <c r="A446" s="2"/>
      <c r="B446" s="3"/>
      <c r="C446" s="3"/>
      <c r="D446" s="15"/>
      <c r="E446" s="2"/>
      <c r="F446" s="2"/>
      <c r="G446" s="2"/>
      <c r="H446" s="2"/>
      <c r="I446" s="2"/>
      <c r="J446" s="2"/>
      <c r="K446" s="2"/>
      <c r="L446" s="2"/>
      <c r="M446" s="2"/>
      <c r="N446" s="2">
        <f t="shared" si="6"/>
        <v>0</v>
      </c>
      <c r="O446" s="71"/>
    </row>
    <row r="447" spans="1:15" x14ac:dyDescent="0.25">
      <c r="A447" s="2"/>
      <c r="B447" s="3"/>
      <c r="C447" s="3"/>
      <c r="D447" s="15"/>
      <c r="E447" s="2"/>
      <c r="F447" s="2"/>
      <c r="G447" s="2"/>
      <c r="H447" s="2"/>
      <c r="I447" s="2"/>
      <c r="J447" s="2"/>
      <c r="K447" s="2"/>
      <c r="L447" s="2"/>
      <c r="M447" s="2"/>
      <c r="N447" s="2">
        <f t="shared" si="6"/>
        <v>0</v>
      </c>
      <c r="O447" s="71"/>
    </row>
    <row r="448" spans="1:15" x14ac:dyDescent="0.25">
      <c r="A448" s="2"/>
      <c r="B448" s="3"/>
      <c r="C448" s="3"/>
      <c r="D448" s="15"/>
      <c r="E448" s="2"/>
      <c r="F448" s="2"/>
      <c r="G448" s="2"/>
      <c r="H448" s="2"/>
      <c r="I448" s="2"/>
      <c r="J448" s="2"/>
      <c r="K448" s="2"/>
      <c r="L448" s="2"/>
      <c r="M448" s="2"/>
      <c r="N448" s="2">
        <f t="shared" si="6"/>
        <v>0</v>
      </c>
      <c r="O448" s="71"/>
    </row>
    <row r="449" spans="1:15" x14ac:dyDescent="0.25">
      <c r="A449" s="2"/>
      <c r="B449" s="3"/>
      <c r="C449" s="3"/>
      <c r="D449" s="15"/>
      <c r="E449" s="2"/>
      <c r="F449" s="2"/>
      <c r="G449" s="2"/>
      <c r="H449" s="2"/>
      <c r="I449" s="2"/>
      <c r="J449" s="2"/>
      <c r="K449" s="2"/>
      <c r="L449" s="2"/>
      <c r="M449" s="2"/>
      <c r="N449" s="2">
        <f t="shared" si="6"/>
        <v>0</v>
      </c>
      <c r="O449" s="71"/>
    </row>
    <row r="450" spans="1:15" x14ac:dyDescent="0.25">
      <c r="A450" s="2"/>
      <c r="B450" s="3"/>
      <c r="C450" s="3"/>
      <c r="D450" s="15"/>
      <c r="E450" s="2"/>
      <c r="F450" s="2"/>
      <c r="G450" s="2"/>
      <c r="H450" s="2"/>
      <c r="I450" s="2"/>
      <c r="J450" s="2"/>
      <c r="K450" s="2"/>
      <c r="L450" s="2"/>
      <c r="M450" s="2"/>
      <c r="N450" s="2">
        <f t="shared" si="6"/>
        <v>0</v>
      </c>
      <c r="O450" s="71"/>
    </row>
    <row r="451" spans="1:15" x14ac:dyDescent="0.25">
      <c r="A451" s="2"/>
      <c r="B451" s="3"/>
      <c r="C451" s="3"/>
      <c r="D451" s="15"/>
      <c r="E451" s="2"/>
      <c r="F451" s="2"/>
      <c r="G451" s="2"/>
      <c r="H451" s="2"/>
      <c r="I451" s="2"/>
      <c r="J451" s="2"/>
      <c r="K451" s="2"/>
      <c r="L451" s="2"/>
      <c r="M451" s="2"/>
      <c r="N451" s="2">
        <f t="shared" si="6"/>
        <v>0</v>
      </c>
      <c r="O451" s="71"/>
    </row>
    <row r="452" spans="1:15" x14ac:dyDescent="0.25">
      <c r="A452" s="2"/>
      <c r="B452" s="3"/>
      <c r="C452" s="3"/>
      <c r="D452" s="15"/>
      <c r="E452" s="2"/>
      <c r="F452" s="2"/>
      <c r="G452" s="2"/>
      <c r="H452" s="2"/>
      <c r="I452" s="2"/>
      <c r="J452" s="2"/>
      <c r="K452" s="2"/>
      <c r="L452" s="2"/>
      <c r="M452" s="2"/>
      <c r="N452" s="2">
        <f t="shared" si="6"/>
        <v>0</v>
      </c>
      <c r="O452" s="71"/>
    </row>
    <row r="453" spans="1:15" x14ac:dyDescent="0.25">
      <c r="A453" s="2"/>
      <c r="B453" s="3"/>
      <c r="C453" s="3"/>
      <c r="D453" s="15"/>
      <c r="E453" s="2"/>
      <c r="F453" s="2"/>
      <c r="G453" s="2"/>
      <c r="H453" s="2"/>
      <c r="I453" s="2"/>
      <c r="J453" s="2"/>
      <c r="K453" s="2"/>
      <c r="L453" s="2"/>
      <c r="M453" s="2"/>
      <c r="N453" s="2">
        <f t="shared" si="6"/>
        <v>0</v>
      </c>
      <c r="O453" s="71"/>
    </row>
    <row r="454" spans="1:15" x14ac:dyDescent="0.25">
      <c r="A454" s="2"/>
      <c r="B454" s="3"/>
      <c r="C454" s="3"/>
      <c r="D454" s="15"/>
      <c r="E454" s="2"/>
      <c r="F454" s="2"/>
      <c r="G454" s="2"/>
      <c r="H454" s="2"/>
      <c r="I454" s="2"/>
      <c r="J454" s="2"/>
      <c r="K454" s="2"/>
      <c r="L454" s="2"/>
      <c r="M454" s="2"/>
      <c r="N454" s="2">
        <f t="shared" ref="N454:N485" si="7">SUM(E454,G454,J454,)</f>
        <v>0</v>
      </c>
      <c r="O454" s="71"/>
    </row>
    <row r="455" spans="1:15" x14ac:dyDescent="0.25">
      <c r="A455" s="2"/>
      <c r="B455" s="3"/>
      <c r="C455" s="3"/>
      <c r="D455" s="15"/>
      <c r="E455" s="2"/>
      <c r="F455" s="2"/>
      <c r="G455" s="2"/>
      <c r="H455" s="2"/>
      <c r="I455" s="2"/>
      <c r="J455" s="2"/>
      <c r="K455" s="2"/>
      <c r="L455" s="2"/>
      <c r="M455" s="2"/>
      <c r="N455" s="2">
        <f t="shared" si="7"/>
        <v>0</v>
      </c>
      <c r="O455" s="71"/>
    </row>
    <row r="456" spans="1:15" x14ac:dyDescent="0.25">
      <c r="A456" s="2"/>
      <c r="B456" s="3"/>
      <c r="C456" s="3"/>
      <c r="D456" s="15"/>
      <c r="E456" s="2"/>
      <c r="F456" s="2"/>
      <c r="G456" s="2"/>
      <c r="H456" s="2"/>
      <c r="I456" s="2"/>
      <c r="J456" s="2"/>
      <c r="K456" s="2"/>
      <c r="L456" s="2"/>
      <c r="M456" s="2"/>
      <c r="N456" s="2">
        <f t="shared" si="7"/>
        <v>0</v>
      </c>
      <c r="O456" s="71"/>
    </row>
    <row r="457" spans="1:15" x14ac:dyDescent="0.25">
      <c r="A457" s="2"/>
      <c r="B457" s="3"/>
      <c r="C457" s="3"/>
      <c r="D457" s="15"/>
      <c r="E457" s="2"/>
      <c r="F457" s="2"/>
      <c r="G457" s="2"/>
      <c r="H457" s="2"/>
      <c r="I457" s="2"/>
      <c r="J457" s="2"/>
      <c r="K457" s="2"/>
      <c r="L457" s="2"/>
      <c r="M457" s="2"/>
      <c r="N457" s="2">
        <f t="shared" si="7"/>
        <v>0</v>
      </c>
      <c r="O457" s="71"/>
    </row>
    <row r="458" spans="1:15" x14ac:dyDescent="0.25">
      <c r="A458" s="2"/>
      <c r="B458" s="3"/>
      <c r="C458" s="3"/>
      <c r="D458" s="15"/>
      <c r="E458" s="2"/>
      <c r="F458" s="2"/>
      <c r="G458" s="2"/>
      <c r="H458" s="2"/>
      <c r="I458" s="2"/>
      <c r="J458" s="2"/>
      <c r="K458" s="2"/>
      <c r="L458" s="2"/>
      <c r="M458" s="2"/>
      <c r="N458" s="2">
        <f t="shared" si="7"/>
        <v>0</v>
      </c>
      <c r="O458" s="71"/>
    </row>
    <row r="459" spans="1:15" x14ac:dyDescent="0.25">
      <c r="A459" s="2"/>
      <c r="B459" s="3"/>
      <c r="C459" s="3"/>
      <c r="D459" s="15"/>
      <c r="E459" s="2"/>
      <c r="F459" s="2"/>
      <c r="G459" s="2"/>
      <c r="H459" s="2"/>
      <c r="I459" s="2"/>
      <c r="J459" s="2"/>
      <c r="K459" s="2"/>
      <c r="L459" s="2"/>
      <c r="M459" s="2"/>
      <c r="N459" s="2">
        <f t="shared" si="7"/>
        <v>0</v>
      </c>
      <c r="O459" s="71"/>
    </row>
    <row r="460" spans="1:15" x14ac:dyDescent="0.25">
      <c r="A460" s="2"/>
      <c r="B460" s="3"/>
      <c r="C460" s="3"/>
      <c r="D460" s="15"/>
      <c r="E460" s="2"/>
      <c r="F460" s="2"/>
      <c r="G460" s="2"/>
      <c r="H460" s="2"/>
      <c r="I460" s="2"/>
      <c r="J460" s="2"/>
      <c r="K460" s="2"/>
      <c r="L460" s="2"/>
      <c r="M460" s="2"/>
      <c r="N460" s="2">
        <f t="shared" si="7"/>
        <v>0</v>
      </c>
      <c r="O460" s="71"/>
    </row>
    <row r="461" spans="1:15" x14ac:dyDescent="0.25">
      <c r="A461" s="2"/>
      <c r="B461" s="3"/>
      <c r="C461" s="3"/>
      <c r="D461" s="15"/>
      <c r="E461" s="2"/>
      <c r="F461" s="2"/>
      <c r="G461" s="2"/>
      <c r="H461" s="2"/>
      <c r="I461" s="2"/>
      <c r="J461" s="2"/>
      <c r="K461" s="2"/>
      <c r="L461" s="2"/>
      <c r="M461" s="2"/>
      <c r="N461" s="2">
        <f t="shared" si="7"/>
        <v>0</v>
      </c>
      <c r="O461" s="71"/>
    </row>
    <row r="462" spans="1:15" x14ac:dyDescent="0.25">
      <c r="A462" s="2"/>
      <c r="B462" s="3"/>
      <c r="C462" s="3"/>
      <c r="D462" s="15"/>
      <c r="E462" s="2"/>
      <c r="F462" s="2"/>
      <c r="G462" s="2"/>
      <c r="H462" s="2"/>
      <c r="I462" s="2"/>
      <c r="J462" s="2"/>
      <c r="K462" s="2"/>
      <c r="L462" s="2"/>
      <c r="M462" s="2"/>
      <c r="N462" s="2">
        <f t="shared" si="7"/>
        <v>0</v>
      </c>
      <c r="O462" s="71"/>
    </row>
    <row r="463" spans="1:15" x14ac:dyDescent="0.25">
      <c r="A463" s="2"/>
      <c r="B463" s="3"/>
      <c r="C463" s="3"/>
      <c r="D463" s="15"/>
      <c r="E463" s="2"/>
      <c r="F463" s="2"/>
      <c r="G463" s="2"/>
      <c r="H463" s="2"/>
      <c r="I463" s="2"/>
      <c r="J463" s="2"/>
      <c r="K463" s="2"/>
      <c r="L463" s="2"/>
      <c r="M463" s="2"/>
      <c r="N463" s="2">
        <f t="shared" si="7"/>
        <v>0</v>
      </c>
      <c r="O463" s="71"/>
    </row>
    <row r="464" spans="1:15" x14ac:dyDescent="0.25">
      <c r="A464" s="2"/>
      <c r="B464" s="3"/>
      <c r="C464" s="3"/>
      <c r="D464" s="15"/>
      <c r="E464" s="2"/>
      <c r="F464" s="2"/>
      <c r="G464" s="2"/>
      <c r="H464" s="2"/>
      <c r="I464" s="2"/>
      <c r="J464" s="2"/>
      <c r="K464" s="2"/>
      <c r="L464" s="2"/>
      <c r="M464" s="2"/>
      <c r="N464" s="2">
        <f t="shared" si="7"/>
        <v>0</v>
      </c>
      <c r="O464" s="71"/>
    </row>
    <row r="465" spans="1:15" x14ac:dyDescent="0.25">
      <c r="A465" s="2"/>
      <c r="B465" s="3"/>
      <c r="C465" s="3"/>
      <c r="D465" s="15"/>
      <c r="E465" s="2"/>
      <c r="F465" s="2"/>
      <c r="G465" s="2"/>
      <c r="H465" s="2"/>
      <c r="I465" s="2"/>
      <c r="J465" s="2"/>
      <c r="K465" s="2"/>
      <c r="L465" s="2"/>
      <c r="M465" s="2"/>
      <c r="N465" s="2">
        <f t="shared" si="7"/>
        <v>0</v>
      </c>
      <c r="O465" s="71"/>
    </row>
    <row r="466" spans="1:15" x14ac:dyDescent="0.25">
      <c r="A466" s="2"/>
      <c r="B466" s="3"/>
      <c r="C466" s="3"/>
      <c r="D466" s="15"/>
      <c r="E466" s="2"/>
      <c r="F466" s="2"/>
      <c r="G466" s="2"/>
      <c r="H466" s="2"/>
      <c r="I466" s="2"/>
      <c r="J466" s="2"/>
      <c r="K466" s="2"/>
      <c r="L466" s="2"/>
      <c r="M466" s="2"/>
      <c r="N466" s="2">
        <f t="shared" si="7"/>
        <v>0</v>
      </c>
      <c r="O466" s="71"/>
    </row>
    <row r="467" spans="1:15" x14ac:dyDescent="0.25">
      <c r="A467" s="2"/>
      <c r="B467" s="3"/>
      <c r="C467" s="3"/>
      <c r="D467" s="15"/>
      <c r="E467" s="2"/>
      <c r="F467" s="2"/>
      <c r="G467" s="2"/>
      <c r="H467" s="2"/>
      <c r="I467" s="2"/>
      <c r="J467" s="2"/>
      <c r="K467" s="2"/>
      <c r="L467" s="2"/>
      <c r="M467" s="2"/>
      <c r="N467" s="2">
        <f t="shared" si="7"/>
        <v>0</v>
      </c>
      <c r="O467" s="71"/>
    </row>
    <row r="468" spans="1:15" x14ac:dyDescent="0.25">
      <c r="A468" s="2"/>
      <c r="B468" s="3"/>
      <c r="C468" s="3"/>
      <c r="D468" s="15"/>
      <c r="E468" s="2"/>
      <c r="F468" s="2"/>
      <c r="G468" s="2"/>
      <c r="H468" s="2"/>
      <c r="I468" s="2"/>
      <c r="J468" s="2"/>
      <c r="K468" s="2"/>
      <c r="L468" s="2"/>
      <c r="M468" s="2"/>
      <c r="N468" s="2">
        <f t="shared" si="7"/>
        <v>0</v>
      </c>
      <c r="O468" s="71"/>
    </row>
    <row r="469" spans="1:15" x14ac:dyDescent="0.25">
      <c r="A469" s="2"/>
      <c r="B469" s="3"/>
      <c r="C469" s="3"/>
      <c r="D469" s="15"/>
      <c r="E469" s="2"/>
      <c r="F469" s="2"/>
      <c r="G469" s="2"/>
      <c r="H469" s="2"/>
      <c r="I469" s="2"/>
      <c r="J469" s="2"/>
      <c r="K469" s="2"/>
      <c r="L469" s="2"/>
      <c r="M469" s="2"/>
      <c r="N469" s="2">
        <f t="shared" si="7"/>
        <v>0</v>
      </c>
      <c r="O469" s="71"/>
    </row>
    <row r="470" spans="1:15" x14ac:dyDescent="0.25">
      <c r="A470" s="2"/>
      <c r="B470" s="3"/>
      <c r="C470" s="3"/>
      <c r="D470" s="15"/>
      <c r="E470" s="2"/>
      <c r="F470" s="2"/>
      <c r="G470" s="2"/>
      <c r="H470" s="2"/>
      <c r="I470" s="2"/>
      <c r="J470" s="2"/>
      <c r="K470" s="2"/>
      <c r="L470" s="2"/>
      <c r="M470" s="2"/>
      <c r="N470" s="2">
        <f t="shared" si="7"/>
        <v>0</v>
      </c>
      <c r="O470" s="71"/>
    </row>
    <row r="471" spans="1:15" x14ac:dyDescent="0.25">
      <c r="A471" s="2"/>
      <c r="B471" s="3"/>
      <c r="C471" s="3"/>
      <c r="D471" s="15"/>
      <c r="E471" s="2"/>
      <c r="F471" s="2"/>
      <c r="G471" s="2"/>
      <c r="H471" s="2"/>
      <c r="I471" s="2"/>
      <c r="J471" s="2"/>
      <c r="K471" s="2"/>
      <c r="L471" s="2"/>
      <c r="M471" s="2"/>
      <c r="N471" s="2">
        <f t="shared" si="7"/>
        <v>0</v>
      </c>
      <c r="O471" s="71"/>
    </row>
    <row r="472" spans="1:15" x14ac:dyDescent="0.25">
      <c r="A472" s="2"/>
      <c r="B472" s="3"/>
      <c r="C472" s="3"/>
      <c r="D472" s="15"/>
      <c r="E472" s="2"/>
      <c r="F472" s="2"/>
      <c r="G472" s="2"/>
      <c r="H472" s="2"/>
      <c r="I472" s="2"/>
      <c r="J472" s="2"/>
      <c r="K472" s="2"/>
      <c r="L472" s="2"/>
      <c r="M472" s="2"/>
      <c r="N472" s="2">
        <f t="shared" si="7"/>
        <v>0</v>
      </c>
      <c r="O472" s="71"/>
    </row>
    <row r="473" spans="1:15" x14ac:dyDescent="0.25">
      <c r="A473" s="2"/>
      <c r="B473" s="3"/>
      <c r="C473" s="3"/>
      <c r="D473" s="15"/>
      <c r="E473" s="2"/>
      <c r="F473" s="2"/>
      <c r="G473" s="2"/>
      <c r="H473" s="2"/>
      <c r="I473" s="2"/>
      <c r="J473" s="2"/>
      <c r="K473" s="2"/>
      <c r="L473" s="2"/>
      <c r="M473" s="2"/>
      <c r="N473" s="2">
        <f t="shared" si="7"/>
        <v>0</v>
      </c>
      <c r="O473" s="71"/>
    </row>
    <row r="474" spans="1:15" x14ac:dyDescent="0.25">
      <c r="A474" s="2"/>
      <c r="B474" s="3"/>
      <c r="C474" s="3"/>
      <c r="D474" s="15"/>
      <c r="E474" s="2"/>
      <c r="F474" s="2"/>
      <c r="G474" s="2"/>
      <c r="H474" s="2"/>
      <c r="I474" s="2"/>
      <c r="J474" s="2"/>
      <c r="K474" s="2"/>
      <c r="L474" s="2"/>
      <c r="M474" s="2"/>
      <c r="N474" s="2">
        <f t="shared" si="7"/>
        <v>0</v>
      </c>
      <c r="O474" s="71"/>
    </row>
    <row r="475" spans="1:15" x14ac:dyDescent="0.25">
      <c r="A475" s="2"/>
      <c r="B475" s="3"/>
      <c r="C475" s="3"/>
      <c r="D475" s="15"/>
      <c r="E475" s="2"/>
      <c r="F475" s="2"/>
      <c r="G475" s="2"/>
      <c r="H475" s="2"/>
      <c r="I475" s="2"/>
      <c r="J475" s="2"/>
      <c r="K475" s="2"/>
      <c r="L475" s="2"/>
      <c r="M475" s="2"/>
      <c r="N475" s="2">
        <f t="shared" si="7"/>
        <v>0</v>
      </c>
      <c r="O475" s="71"/>
    </row>
    <row r="476" spans="1:15" x14ac:dyDescent="0.25">
      <c r="A476" s="2"/>
      <c r="B476" s="3"/>
      <c r="C476" s="3"/>
      <c r="D476" s="15"/>
      <c r="E476" s="2"/>
      <c r="F476" s="2"/>
      <c r="G476" s="2"/>
      <c r="H476" s="2"/>
      <c r="I476" s="2"/>
      <c r="J476" s="2"/>
      <c r="K476" s="2"/>
      <c r="L476" s="2"/>
      <c r="M476" s="2"/>
      <c r="N476" s="2">
        <f t="shared" si="7"/>
        <v>0</v>
      </c>
      <c r="O476" s="71"/>
    </row>
    <row r="477" spans="1:15" x14ac:dyDescent="0.25">
      <c r="A477" s="2"/>
      <c r="B477" s="3"/>
      <c r="C477" s="3"/>
      <c r="D477" s="15"/>
      <c r="E477" s="2"/>
      <c r="F477" s="2"/>
      <c r="G477" s="2"/>
      <c r="H477" s="2"/>
      <c r="I477" s="2"/>
      <c r="J477" s="2"/>
      <c r="K477" s="2"/>
      <c r="L477" s="2"/>
      <c r="M477" s="2"/>
      <c r="N477" s="2">
        <f t="shared" si="7"/>
        <v>0</v>
      </c>
      <c r="O477" s="71"/>
    </row>
    <row r="478" spans="1:15" x14ac:dyDescent="0.25">
      <c r="A478" s="2"/>
      <c r="B478" s="3"/>
      <c r="C478" s="3"/>
      <c r="D478" s="15"/>
      <c r="E478" s="2"/>
      <c r="F478" s="2"/>
      <c r="G478" s="2"/>
      <c r="H478" s="2"/>
      <c r="I478" s="2"/>
      <c r="J478" s="2"/>
      <c r="K478" s="2"/>
      <c r="L478" s="2"/>
      <c r="M478" s="2"/>
      <c r="N478" s="2">
        <f t="shared" si="7"/>
        <v>0</v>
      </c>
      <c r="O478" s="71"/>
    </row>
    <row r="479" spans="1:15" x14ac:dyDescent="0.25">
      <c r="A479" s="2"/>
      <c r="B479" s="3"/>
      <c r="C479" s="3"/>
      <c r="D479" s="15"/>
      <c r="E479" s="2"/>
      <c r="F479" s="2"/>
      <c r="G479" s="2"/>
      <c r="H479" s="2"/>
      <c r="I479" s="2"/>
      <c r="J479" s="2"/>
      <c r="K479" s="2"/>
      <c r="L479" s="2"/>
      <c r="M479" s="2"/>
      <c r="N479" s="2">
        <f t="shared" si="7"/>
        <v>0</v>
      </c>
      <c r="O479" s="71"/>
    </row>
    <row r="480" spans="1:15" x14ac:dyDescent="0.25">
      <c r="A480" s="2"/>
      <c r="B480" s="3"/>
      <c r="C480" s="3"/>
      <c r="D480" s="15"/>
      <c r="E480" s="2"/>
      <c r="F480" s="2"/>
      <c r="G480" s="2"/>
      <c r="H480" s="2"/>
      <c r="I480" s="2"/>
      <c r="J480" s="2"/>
      <c r="K480" s="2"/>
      <c r="L480" s="2"/>
      <c r="M480" s="2"/>
      <c r="N480" s="2">
        <f t="shared" si="7"/>
        <v>0</v>
      </c>
      <c r="O480" s="71"/>
    </row>
    <row r="481" spans="1:15" x14ac:dyDescent="0.25">
      <c r="A481" s="2"/>
      <c r="B481" s="3"/>
      <c r="C481" s="3"/>
      <c r="D481" s="15"/>
      <c r="E481" s="2"/>
      <c r="F481" s="2"/>
      <c r="G481" s="2"/>
      <c r="H481" s="2"/>
      <c r="I481" s="2"/>
      <c r="J481" s="2"/>
      <c r="K481" s="2"/>
      <c r="L481" s="2"/>
      <c r="M481" s="2"/>
      <c r="N481" s="2">
        <f t="shared" si="7"/>
        <v>0</v>
      </c>
      <c r="O481" s="71"/>
    </row>
    <row r="482" spans="1:15" x14ac:dyDescent="0.25">
      <c r="A482" s="2"/>
      <c r="B482" s="3"/>
      <c r="C482" s="3"/>
      <c r="D482" s="15"/>
      <c r="E482" s="2"/>
      <c r="F482" s="2"/>
      <c r="G482" s="2"/>
      <c r="H482" s="2"/>
      <c r="I482" s="2"/>
      <c r="J482" s="2"/>
      <c r="K482" s="2"/>
      <c r="L482" s="2"/>
      <c r="M482" s="2"/>
      <c r="N482" s="2">
        <f t="shared" si="7"/>
        <v>0</v>
      </c>
      <c r="O482" s="71"/>
    </row>
    <row r="483" spans="1:15" x14ac:dyDescent="0.25">
      <c r="A483" s="2"/>
      <c r="B483" s="3"/>
      <c r="C483" s="3"/>
      <c r="D483" s="15"/>
      <c r="E483" s="2"/>
      <c r="F483" s="2"/>
      <c r="G483" s="2"/>
      <c r="H483" s="2"/>
      <c r="I483" s="2"/>
      <c r="J483" s="2"/>
      <c r="K483" s="2"/>
      <c r="L483" s="2"/>
      <c r="M483" s="2"/>
      <c r="N483" s="2">
        <f t="shared" si="7"/>
        <v>0</v>
      </c>
      <c r="O483" s="71"/>
    </row>
    <row r="484" spans="1:15" x14ac:dyDescent="0.25">
      <c r="A484" s="2"/>
      <c r="B484" s="3"/>
      <c r="C484" s="3"/>
      <c r="D484" s="15"/>
      <c r="E484" s="2"/>
      <c r="F484" s="2"/>
      <c r="G484" s="2"/>
      <c r="H484" s="2"/>
      <c r="I484" s="2"/>
      <c r="J484" s="2"/>
      <c r="K484" s="2"/>
      <c r="L484" s="2"/>
      <c r="M484" s="2"/>
      <c r="N484" s="2">
        <f t="shared" si="7"/>
        <v>0</v>
      </c>
      <c r="O484" s="71"/>
    </row>
    <row r="485" spans="1:15" x14ac:dyDescent="0.25">
      <c r="A485" s="2"/>
      <c r="B485" s="3"/>
      <c r="C485" s="3"/>
      <c r="D485" s="15"/>
      <c r="E485" s="2"/>
      <c r="F485" s="2"/>
      <c r="G485" s="2"/>
      <c r="H485" s="2"/>
      <c r="I485" s="2"/>
      <c r="J485" s="2"/>
      <c r="K485" s="2"/>
      <c r="L485" s="2"/>
      <c r="M485" s="2"/>
      <c r="N485" s="2">
        <f t="shared" si="7"/>
        <v>0</v>
      </c>
      <c r="O485" s="71"/>
    </row>
    <row r="486" spans="1:15" x14ac:dyDescent="0.25">
      <c r="A486" s="2"/>
      <c r="B486" s="3"/>
      <c r="C486" s="3"/>
      <c r="D486" s="15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71"/>
    </row>
    <row r="487" spans="1:15" x14ac:dyDescent="0.25">
      <c r="A487" s="2"/>
      <c r="B487" s="3"/>
      <c r="C487" s="3"/>
      <c r="D487" s="15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73"/>
    </row>
    <row r="488" spans="1:15" x14ac:dyDescent="0.25">
      <c r="A488" s="2"/>
      <c r="B488" s="3"/>
      <c r="C488" s="3"/>
      <c r="D488" s="15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73"/>
    </row>
    <row r="489" spans="1:15" x14ac:dyDescent="0.25">
      <c r="A489" s="2"/>
      <c r="B489" s="3"/>
      <c r="C489" s="3"/>
      <c r="D489" s="15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73"/>
    </row>
    <row r="490" spans="1:15" x14ac:dyDescent="0.25">
      <c r="A490" s="2"/>
      <c r="B490" s="3"/>
      <c r="C490" s="3"/>
      <c r="D490" s="15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73"/>
    </row>
    <row r="491" spans="1:15" x14ac:dyDescent="0.25">
      <c r="A491" s="2"/>
      <c r="B491" s="3"/>
      <c r="C491" s="3"/>
      <c r="D491" s="15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73"/>
    </row>
    <row r="492" spans="1:15" x14ac:dyDescent="0.25">
      <c r="A492" s="2"/>
      <c r="B492" s="3"/>
      <c r="C492" s="3"/>
      <c r="D492" s="15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73"/>
    </row>
    <row r="493" spans="1:15" x14ac:dyDescent="0.25">
      <c r="A493" s="2"/>
      <c r="B493" s="3"/>
      <c r="C493" s="3"/>
      <c r="D493" s="15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73"/>
    </row>
    <row r="494" spans="1:15" x14ac:dyDescent="0.25">
      <c r="A494" s="2"/>
      <c r="B494" s="3"/>
      <c r="C494" s="3"/>
      <c r="D494" s="15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73"/>
    </row>
    <row r="495" spans="1:15" x14ac:dyDescent="0.25">
      <c r="A495" s="2"/>
      <c r="B495" s="3"/>
      <c r="C495" s="3"/>
      <c r="D495" s="15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73"/>
    </row>
    <row r="496" spans="1:15" x14ac:dyDescent="0.25">
      <c r="A496" s="2"/>
      <c r="B496" s="3"/>
      <c r="C496" s="3"/>
      <c r="D496" s="15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73"/>
    </row>
    <row r="497" spans="1:15" x14ac:dyDescent="0.25">
      <c r="A497" s="2"/>
      <c r="B497" s="3"/>
      <c r="C497" s="3"/>
      <c r="D497" s="15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73"/>
    </row>
    <row r="498" spans="1:15" x14ac:dyDescent="0.25">
      <c r="A498" s="2"/>
      <c r="B498" s="3"/>
      <c r="C498" s="3"/>
      <c r="D498" s="15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73"/>
    </row>
    <row r="499" spans="1:15" x14ac:dyDescent="0.25">
      <c r="A499" s="2"/>
      <c r="B499" s="3"/>
      <c r="C499" s="3"/>
      <c r="D499" s="15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73"/>
    </row>
    <row r="500" spans="1:15" x14ac:dyDescent="0.25">
      <c r="A500" s="2"/>
      <c r="B500" s="3"/>
      <c r="C500" s="3"/>
      <c r="D500" s="15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73"/>
    </row>
    <row r="501" spans="1:15" x14ac:dyDescent="0.25">
      <c r="A501" s="2"/>
      <c r="B501" s="3"/>
      <c r="C501" s="3"/>
      <c r="D501" s="15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73"/>
    </row>
    <row r="502" spans="1:15" x14ac:dyDescent="0.25">
      <c r="A502" s="2"/>
      <c r="B502" s="3"/>
      <c r="C502" s="3"/>
      <c r="D502" s="15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73"/>
    </row>
    <row r="503" spans="1:15" x14ac:dyDescent="0.25">
      <c r="A503" s="2"/>
      <c r="B503" s="3"/>
      <c r="C503" s="3"/>
      <c r="D503" s="15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3"/>
    </row>
    <row r="504" spans="1:15" x14ac:dyDescent="0.25">
      <c r="A504" s="2"/>
      <c r="B504" s="3"/>
      <c r="C504" s="3"/>
      <c r="D504" s="15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3"/>
    </row>
    <row r="505" spans="1:15" x14ac:dyDescent="0.25">
      <c r="A505" s="2"/>
      <c r="B505" s="3"/>
      <c r="C505" s="3"/>
      <c r="D505" s="15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3"/>
    </row>
    <row r="506" spans="1:15" x14ac:dyDescent="0.25">
      <c r="A506" s="2"/>
      <c r="B506" s="3"/>
      <c r="C506" s="3"/>
      <c r="D506" s="15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3"/>
    </row>
    <row r="507" spans="1:15" x14ac:dyDescent="0.25">
      <c r="A507" s="2"/>
      <c r="B507" s="3"/>
      <c r="C507" s="3"/>
      <c r="D507" s="15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3"/>
    </row>
    <row r="508" spans="1:15" x14ac:dyDescent="0.25">
      <c r="A508" s="2"/>
      <c r="B508" s="3"/>
      <c r="C508" s="3"/>
      <c r="D508" s="15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3"/>
    </row>
    <row r="509" spans="1:15" x14ac:dyDescent="0.25">
      <c r="A509" s="2"/>
      <c r="B509" s="3"/>
      <c r="C509" s="3"/>
      <c r="D509" s="15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3"/>
    </row>
    <row r="510" spans="1:15" x14ac:dyDescent="0.25">
      <c r="A510" s="2"/>
      <c r="B510" s="3"/>
      <c r="C510" s="3"/>
      <c r="D510" s="15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3"/>
    </row>
    <row r="511" spans="1:15" x14ac:dyDescent="0.25">
      <c r="A511" s="2"/>
      <c r="B511" s="3"/>
      <c r="C511" s="3"/>
      <c r="D511" s="15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3"/>
    </row>
    <row r="512" spans="1:15" x14ac:dyDescent="0.25">
      <c r="A512" s="2"/>
      <c r="B512" s="3"/>
      <c r="C512" s="3"/>
      <c r="D512" s="15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3"/>
    </row>
    <row r="513" spans="1:15" x14ac:dyDescent="0.25">
      <c r="A513" s="2"/>
      <c r="B513" s="3"/>
      <c r="C513" s="3"/>
      <c r="D513" s="15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3"/>
    </row>
    <row r="514" spans="1:15" x14ac:dyDescent="0.25">
      <c r="A514" s="2"/>
      <c r="B514" s="3"/>
      <c r="C514" s="3"/>
      <c r="D514" s="15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3"/>
    </row>
    <row r="515" spans="1:15" x14ac:dyDescent="0.25">
      <c r="A515" s="2"/>
      <c r="B515" s="3"/>
      <c r="C515" s="3"/>
      <c r="D515" s="15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3"/>
    </row>
    <row r="516" spans="1:15" x14ac:dyDescent="0.25">
      <c r="A516" s="2"/>
      <c r="B516" s="3"/>
      <c r="C516" s="3"/>
      <c r="D516" s="15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3"/>
    </row>
    <row r="517" spans="1:15" x14ac:dyDescent="0.25">
      <c r="A517" s="2"/>
      <c r="B517" s="3"/>
      <c r="C517" s="3"/>
      <c r="D517" s="15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3"/>
    </row>
    <row r="518" spans="1:15" x14ac:dyDescent="0.25">
      <c r="A518" s="2"/>
      <c r="B518" s="3"/>
      <c r="C518" s="3"/>
      <c r="D518" s="15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3"/>
    </row>
    <row r="519" spans="1:15" x14ac:dyDescent="0.25">
      <c r="A519" s="2"/>
      <c r="B519" s="3"/>
      <c r="C519" s="3"/>
      <c r="D519" s="15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3"/>
    </row>
    <row r="520" spans="1:15" x14ac:dyDescent="0.25">
      <c r="A520" s="2"/>
      <c r="B520" s="3"/>
      <c r="C520" s="3"/>
      <c r="D520" s="15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3"/>
    </row>
    <row r="521" spans="1:15" x14ac:dyDescent="0.25">
      <c r="A521" s="2"/>
      <c r="B521" s="3"/>
      <c r="C521" s="3"/>
      <c r="D521" s="15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3"/>
    </row>
    <row r="522" spans="1:15" x14ac:dyDescent="0.25">
      <c r="A522" s="2"/>
      <c r="B522" s="3"/>
      <c r="C522" s="3"/>
      <c r="D522" s="15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3"/>
    </row>
    <row r="523" spans="1:15" x14ac:dyDescent="0.25">
      <c r="A523" s="2"/>
      <c r="B523" s="3"/>
      <c r="C523" s="3"/>
      <c r="D523" s="15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3"/>
    </row>
    <row r="524" spans="1:15" x14ac:dyDescent="0.25">
      <c r="A524" s="2"/>
      <c r="B524" s="3"/>
      <c r="C524" s="3"/>
      <c r="D524" s="15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3"/>
    </row>
    <row r="525" spans="1:15" x14ac:dyDescent="0.25">
      <c r="A525" s="2"/>
      <c r="B525" s="3"/>
      <c r="C525" s="3"/>
      <c r="D525" s="15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3"/>
    </row>
    <row r="526" spans="1:15" x14ac:dyDescent="0.25">
      <c r="A526" s="2"/>
      <c r="B526" s="3"/>
      <c r="C526" s="3"/>
      <c r="D526" s="15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3"/>
    </row>
    <row r="527" spans="1:15" x14ac:dyDescent="0.25">
      <c r="A527" s="2"/>
      <c r="B527" s="3"/>
      <c r="C527" s="3"/>
      <c r="D527" s="15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3"/>
    </row>
    <row r="528" spans="1:15" x14ac:dyDescent="0.25">
      <c r="A528" s="2"/>
      <c r="B528" s="3"/>
      <c r="C528" s="3"/>
      <c r="D528" s="15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3"/>
    </row>
    <row r="529" spans="1:15" x14ac:dyDescent="0.25">
      <c r="A529" s="2"/>
      <c r="B529" s="3"/>
      <c r="C529" s="3"/>
      <c r="D529" s="15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3"/>
    </row>
    <row r="530" spans="1:15" x14ac:dyDescent="0.25">
      <c r="A530" s="2"/>
      <c r="B530" s="3"/>
      <c r="C530" s="3"/>
      <c r="D530" s="15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3"/>
    </row>
    <row r="531" spans="1:15" x14ac:dyDescent="0.25">
      <c r="A531" s="2"/>
      <c r="B531" s="3"/>
      <c r="C531" s="3"/>
      <c r="D531" s="15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3"/>
    </row>
    <row r="532" spans="1:15" x14ac:dyDescent="0.25">
      <c r="A532" s="2"/>
      <c r="B532" s="3"/>
      <c r="C532" s="3"/>
      <c r="D532" s="15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3"/>
    </row>
    <row r="533" spans="1:15" x14ac:dyDescent="0.25">
      <c r="A533" s="2"/>
      <c r="B533" s="3"/>
      <c r="C533" s="3"/>
      <c r="D533" s="15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3"/>
    </row>
    <row r="534" spans="1:15" x14ac:dyDescent="0.25">
      <c r="A534" s="2"/>
      <c r="B534" s="3"/>
      <c r="C534" s="3"/>
      <c r="D534" s="15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3"/>
    </row>
    <row r="535" spans="1:15" x14ac:dyDescent="0.25">
      <c r="A535" s="2"/>
      <c r="B535" s="3"/>
      <c r="C535" s="3"/>
      <c r="D535" s="15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3"/>
    </row>
    <row r="536" spans="1:15" x14ac:dyDescent="0.25">
      <c r="A536" s="2"/>
      <c r="B536" s="3"/>
      <c r="C536" s="3"/>
      <c r="D536" s="15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3"/>
    </row>
    <row r="537" spans="1:15" x14ac:dyDescent="0.25">
      <c r="A537" s="2"/>
      <c r="B537" s="3"/>
      <c r="C537" s="3"/>
      <c r="D537" s="15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3"/>
    </row>
    <row r="538" spans="1:15" x14ac:dyDescent="0.25">
      <c r="A538" s="2"/>
      <c r="B538" s="3"/>
      <c r="C538" s="3"/>
      <c r="D538" s="15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3"/>
    </row>
    <row r="539" spans="1:15" x14ac:dyDescent="0.25">
      <c r="A539" s="2"/>
      <c r="B539" s="3"/>
      <c r="C539" s="3"/>
      <c r="D539" s="15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3"/>
    </row>
    <row r="540" spans="1:15" x14ac:dyDescent="0.25">
      <c r="A540" s="2"/>
      <c r="B540" s="3"/>
      <c r="C540" s="3"/>
      <c r="D540" s="15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3"/>
    </row>
    <row r="541" spans="1:15" x14ac:dyDescent="0.25">
      <c r="A541" s="2"/>
      <c r="B541" s="3"/>
      <c r="C541" s="3"/>
      <c r="D541" s="15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3"/>
    </row>
    <row r="542" spans="1:15" x14ac:dyDescent="0.25">
      <c r="A542" s="2"/>
      <c r="B542" s="3"/>
      <c r="C542" s="3"/>
      <c r="D542" s="15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3"/>
    </row>
    <row r="543" spans="1:15" x14ac:dyDescent="0.25">
      <c r="A543" s="2"/>
      <c r="B543" s="3"/>
      <c r="C543" s="3"/>
      <c r="D543" s="15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3"/>
    </row>
    <row r="544" spans="1:15" x14ac:dyDescent="0.25">
      <c r="A544" s="2"/>
      <c r="B544" s="3"/>
      <c r="C544" s="3"/>
      <c r="D544" s="15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3"/>
    </row>
    <row r="545" spans="1:15" x14ac:dyDescent="0.25">
      <c r="A545" s="2"/>
      <c r="B545" s="3"/>
      <c r="C545" s="3"/>
      <c r="D545" s="15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3"/>
    </row>
    <row r="546" spans="1:15" x14ac:dyDescent="0.25">
      <c r="A546" s="2"/>
      <c r="B546" s="3"/>
      <c r="C546" s="3"/>
      <c r="D546" s="15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3"/>
    </row>
    <row r="547" spans="1:15" x14ac:dyDescent="0.25">
      <c r="A547" s="2"/>
      <c r="B547" s="3"/>
      <c r="C547" s="3"/>
      <c r="D547" s="15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3"/>
    </row>
    <row r="548" spans="1:15" x14ac:dyDescent="0.25">
      <c r="A548" s="2"/>
      <c r="B548" s="3"/>
      <c r="C548" s="3"/>
      <c r="D548" s="15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3"/>
    </row>
    <row r="549" spans="1:15" x14ac:dyDescent="0.25">
      <c r="A549" s="2"/>
      <c r="B549" s="3"/>
      <c r="C549" s="3"/>
      <c r="D549" s="15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3"/>
    </row>
    <row r="550" spans="1:15" x14ac:dyDescent="0.25">
      <c r="A550" s="2"/>
      <c r="B550" s="3"/>
      <c r="C550" s="3"/>
      <c r="D550" s="15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3"/>
    </row>
    <row r="551" spans="1:15" x14ac:dyDescent="0.25">
      <c r="A551" s="2"/>
      <c r="B551" s="3"/>
      <c r="C551" s="3"/>
      <c r="D551" s="15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3"/>
    </row>
    <row r="552" spans="1:15" x14ac:dyDescent="0.25">
      <c r="A552" s="2"/>
      <c r="B552" s="3"/>
      <c r="C552" s="3"/>
      <c r="D552" s="15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3"/>
    </row>
    <row r="553" spans="1:15" x14ac:dyDescent="0.25">
      <c r="A553" s="2"/>
      <c r="B553" s="3"/>
      <c r="C553" s="3"/>
      <c r="D553" s="15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3"/>
    </row>
    <row r="554" spans="1:15" x14ac:dyDescent="0.25">
      <c r="A554" s="2"/>
      <c r="B554" s="3"/>
      <c r="C554" s="3"/>
      <c r="D554" s="15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3"/>
    </row>
    <row r="555" spans="1:15" x14ac:dyDescent="0.25">
      <c r="A555" s="2"/>
      <c r="B555" s="3"/>
      <c r="C555" s="3"/>
      <c r="D555" s="15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3"/>
    </row>
    <row r="556" spans="1:15" x14ac:dyDescent="0.25">
      <c r="A556" s="2"/>
      <c r="B556" s="3"/>
      <c r="C556" s="3"/>
      <c r="D556" s="15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3"/>
    </row>
    <row r="557" spans="1:15" x14ac:dyDescent="0.25">
      <c r="A557" s="2"/>
      <c r="B557" s="3"/>
      <c r="C557" s="3"/>
      <c r="D557" s="15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3"/>
    </row>
    <row r="558" spans="1:15" x14ac:dyDescent="0.25">
      <c r="A558" s="2"/>
      <c r="B558" s="3"/>
      <c r="C558" s="3"/>
      <c r="D558" s="15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3"/>
    </row>
    <row r="559" spans="1:15" x14ac:dyDescent="0.25">
      <c r="A559" s="2"/>
      <c r="B559" s="3"/>
      <c r="C559" s="3"/>
      <c r="D559" s="15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3"/>
    </row>
    <row r="560" spans="1:15" x14ac:dyDescent="0.25">
      <c r="A560" s="2"/>
      <c r="B560" s="3"/>
      <c r="C560" s="3"/>
      <c r="D560" s="15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3"/>
    </row>
    <row r="561" spans="1:15" x14ac:dyDescent="0.25">
      <c r="A561" s="2"/>
      <c r="B561" s="3"/>
      <c r="C561" s="3"/>
      <c r="D561" s="15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3"/>
    </row>
    <row r="562" spans="1:15" x14ac:dyDescent="0.25">
      <c r="A562" s="2"/>
      <c r="B562" s="3"/>
      <c r="C562" s="3"/>
      <c r="D562" s="15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3"/>
    </row>
    <row r="563" spans="1:15" x14ac:dyDescent="0.25">
      <c r="A563" s="2"/>
      <c r="B563" s="3"/>
      <c r="C563" s="3"/>
      <c r="D563" s="15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3"/>
    </row>
    <row r="564" spans="1:15" x14ac:dyDescent="0.25">
      <c r="A564" s="2"/>
      <c r="B564" s="3"/>
      <c r="C564" s="3"/>
      <c r="D564" s="15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3"/>
    </row>
    <row r="565" spans="1:15" x14ac:dyDescent="0.25">
      <c r="A565" s="2"/>
      <c r="B565" s="3"/>
      <c r="C565" s="3"/>
      <c r="D565" s="15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3"/>
    </row>
    <row r="566" spans="1:15" x14ac:dyDescent="0.25">
      <c r="A566" s="2"/>
      <c r="B566" s="3"/>
      <c r="C566" s="3"/>
      <c r="D566" s="15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3"/>
    </row>
    <row r="567" spans="1:15" x14ac:dyDescent="0.25">
      <c r="A567" s="2"/>
      <c r="B567" s="3"/>
      <c r="C567" s="3"/>
      <c r="D567" s="15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3"/>
    </row>
    <row r="568" spans="1:15" x14ac:dyDescent="0.25">
      <c r="A568" s="2"/>
      <c r="B568" s="3"/>
      <c r="C568" s="3"/>
      <c r="D568" s="15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3"/>
    </row>
    <row r="569" spans="1:15" x14ac:dyDescent="0.25">
      <c r="A569" s="2"/>
      <c r="B569" s="3"/>
      <c r="C569" s="3"/>
      <c r="D569" s="15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3"/>
    </row>
    <row r="570" spans="1:15" x14ac:dyDescent="0.25">
      <c r="A570" s="2"/>
      <c r="B570" s="3"/>
      <c r="C570" s="3"/>
      <c r="D570" s="15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3"/>
    </row>
    <row r="571" spans="1:15" x14ac:dyDescent="0.25">
      <c r="A571" s="2"/>
      <c r="B571" s="3"/>
      <c r="C571" s="3"/>
      <c r="D571" s="15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3"/>
    </row>
    <row r="572" spans="1:15" x14ac:dyDescent="0.25">
      <c r="A572" s="2"/>
      <c r="B572" s="3"/>
      <c r="C572" s="3"/>
      <c r="D572" s="15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3"/>
    </row>
    <row r="573" spans="1:15" x14ac:dyDescent="0.25">
      <c r="A573" s="2"/>
      <c r="B573" s="3"/>
      <c r="C573" s="3"/>
      <c r="D573" s="15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3"/>
    </row>
    <row r="574" spans="1:15" x14ac:dyDescent="0.25">
      <c r="A574" s="2"/>
      <c r="B574" s="3"/>
      <c r="C574" s="3"/>
      <c r="D574" s="15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3"/>
    </row>
    <row r="575" spans="1:15" x14ac:dyDescent="0.25">
      <c r="A575" s="2"/>
      <c r="B575" s="3"/>
      <c r="C575" s="3"/>
      <c r="D575" s="15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3"/>
    </row>
    <row r="576" spans="1:15" x14ac:dyDescent="0.25">
      <c r="A576" s="2"/>
      <c r="B576" s="3"/>
      <c r="C576" s="3"/>
      <c r="D576" s="15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3"/>
    </row>
    <row r="577" spans="1:15" x14ac:dyDescent="0.25">
      <c r="A577" s="2"/>
      <c r="B577" s="3"/>
      <c r="C577" s="3"/>
      <c r="D577" s="15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3"/>
    </row>
    <row r="578" spans="1:15" x14ac:dyDescent="0.25">
      <c r="A578" s="2"/>
      <c r="B578" s="3"/>
      <c r="C578" s="3"/>
      <c r="D578" s="15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3"/>
    </row>
    <row r="579" spans="1:15" x14ac:dyDescent="0.25">
      <c r="A579" s="2"/>
      <c r="B579" s="3"/>
      <c r="C579" s="3"/>
      <c r="D579" s="15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3"/>
    </row>
    <row r="580" spans="1:15" x14ac:dyDescent="0.25">
      <c r="A580" s="2"/>
      <c r="B580" s="3"/>
      <c r="C580" s="3"/>
      <c r="D580" s="15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3"/>
    </row>
    <row r="581" spans="1:15" x14ac:dyDescent="0.25">
      <c r="A581" s="2"/>
      <c r="B581" s="3"/>
      <c r="C581" s="3"/>
      <c r="D581" s="15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3"/>
    </row>
    <row r="582" spans="1:15" x14ac:dyDescent="0.25">
      <c r="A582" s="2"/>
      <c r="B582" s="3"/>
      <c r="C582" s="3"/>
      <c r="D582" s="15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3"/>
    </row>
    <row r="583" spans="1:15" x14ac:dyDescent="0.25">
      <c r="A583" s="2"/>
      <c r="B583" s="3"/>
      <c r="C583" s="3"/>
      <c r="D583" s="15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3"/>
    </row>
    <row r="584" spans="1:15" x14ac:dyDescent="0.25">
      <c r="A584" s="2"/>
      <c r="B584" s="3"/>
      <c r="C584" s="3"/>
      <c r="D584" s="15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3"/>
    </row>
    <row r="585" spans="1:15" x14ac:dyDescent="0.25">
      <c r="A585" s="2"/>
      <c r="B585" s="3"/>
      <c r="C585" s="3"/>
      <c r="D585" s="15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3"/>
    </row>
    <row r="586" spans="1:15" x14ac:dyDescent="0.25">
      <c r="A586" s="2"/>
      <c r="B586" s="3"/>
      <c r="C586" s="3"/>
      <c r="D586" s="15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3"/>
    </row>
    <row r="587" spans="1:15" x14ac:dyDescent="0.25">
      <c r="A587" s="2"/>
      <c r="B587" s="3"/>
      <c r="C587" s="3"/>
      <c r="D587" s="15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3"/>
    </row>
    <row r="588" spans="1:15" x14ac:dyDescent="0.25">
      <c r="A588" s="2"/>
      <c r="B588" s="3"/>
      <c r="C588" s="3"/>
      <c r="D588" s="15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3"/>
    </row>
    <row r="589" spans="1:15" x14ac:dyDescent="0.25">
      <c r="A589" s="2"/>
      <c r="B589" s="3"/>
      <c r="C589" s="3"/>
      <c r="D589" s="15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3"/>
    </row>
    <row r="590" spans="1:15" x14ac:dyDescent="0.25">
      <c r="A590" s="2"/>
      <c r="B590" s="3"/>
      <c r="C590" s="3"/>
      <c r="D590" s="15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3"/>
    </row>
    <row r="591" spans="1:15" x14ac:dyDescent="0.25">
      <c r="A591" s="2"/>
      <c r="B591" s="3"/>
      <c r="C591" s="3"/>
      <c r="D591" s="15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3"/>
    </row>
    <row r="592" spans="1:15" x14ac:dyDescent="0.25">
      <c r="A592" s="2"/>
      <c r="B592" s="3"/>
      <c r="C592" s="3"/>
      <c r="D592" s="15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3"/>
    </row>
    <row r="593" spans="1:15" x14ac:dyDescent="0.25">
      <c r="A593" s="2"/>
      <c r="B593" s="3"/>
      <c r="C593" s="3"/>
      <c r="D593" s="15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3"/>
    </row>
    <row r="594" spans="1:15" x14ac:dyDescent="0.25">
      <c r="A594" s="2"/>
      <c r="B594" s="3"/>
      <c r="C594" s="3"/>
      <c r="D594" s="15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3"/>
    </row>
    <row r="595" spans="1:15" x14ac:dyDescent="0.25">
      <c r="A595" s="2"/>
      <c r="B595" s="3"/>
      <c r="C595" s="3"/>
      <c r="D595" s="15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3"/>
    </row>
    <row r="596" spans="1:15" x14ac:dyDescent="0.25">
      <c r="A596" s="2"/>
      <c r="B596" s="3"/>
      <c r="C596" s="3"/>
      <c r="D596" s="15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3"/>
    </row>
    <row r="597" spans="1:15" x14ac:dyDescent="0.25">
      <c r="A597" s="2"/>
      <c r="B597" s="3"/>
      <c r="C597" s="3"/>
      <c r="D597" s="15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3"/>
    </row>
    <row r="598" spans="1:15" x14ac:dyDescent="0.25">
      <c r="A598" s="2"/>
      <c r="B598" s="3"/>
      <c r="C598" s="3"/>
      <c r="D598" s="15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3"/>
    </row>
    <row r="599" spans="1:15" x14ac:dyDescent="0.25">
      <c r="A599" s="2"/>
      <c r="B599" s="3"/>
      <c r="C599" s="3"/>
      <c r="D599" s="15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3"/>
    </row>
    <row r="600" spans="1:15" x14ac:dyDescent="0.25">
      <c r="A600" s="2"/>
      <c r="B600" s="3"/>
      <c r="C600" s="3"/>
      <c r="D600" s="15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3"/>
    </row>
    <row r="601" spans="1:15" x14ac:dyDescent="0.25">
      <c r="A601" s="2"/>
      <c r="B601" s="3"/>
      <c r="C601" s="3"/>
      <c r="D601" s="15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3"/>
    </row>
    <row r="602" spans="1:15" x14ac:dyDescent="0.25">
      <c r="A602" s="2"/>
      <c r="B602" s="3"/>
      <c r="C602" s="3"/>
      <c r="D602" s="15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3"/>
    </row>
    <row r="603" spans="1:15" x14ac:dyDescent="0.25">
      <c r="A603" s="2"/>
      <c r="B603" s="3"/>
      <c r="C603" s="3"/>
      <c r="D603" s="15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3"/>
    </row>
    <row r="604" spans="1:15" x14ac:dyDescent="0.25">
      <c r="A604" s="2"/>
      <c r="B604" s="3"/>
      <c r="C604" s="3"/>
      <c r="D604" s="15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3"/>
    </row>
    <row r="605" spans="1:15" x14ac:dyDescent="0.25">
      <c r="A605" s="2"/>
      <c r="B605" s="3"/>
      <c r="C605" s="3"/>
      <c r="D605" s="15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3"/>
    </row>
    <row r="606" spans="1:15" x14ac:dyDescent="0.25">
      <c r="A606" s="2"/>
      <c r="B606" s="3"/>
      <c r="C606" s="3"/>
      <c r="D606" s="15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3"/>
    </row>
    <row r="607" spans="1:15" x14ac:dyDescent="0.25">
      <c r="A607" s="2"/>
      <c r="B607" s="3"/>
      <c r="C607" s="3"/>
      <c r="D607" s="15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3"/>
    </row>
    <row r="608" spans="1:15" x14ac:dyDescent="0.25">
      <c r="A608" s="2"/>
      <c r="B608" s="3"/>
      <c r="C608" s="3"/>
      <c r="D608" s="15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3"/>
    </row>
    <row r="609" spans="1:15" x14ac:dyDescent="0.25">
      <c r="A609" s="2"/>
      <c r="B609" s="3"/>
      <c r="C609" s="3"/>
      <c r="D609" s="15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3"/>
    </row>
    <row r="610" spans="1:15" x14ac:dyDescent="0.25">
      <c r="A610" s="2"/>
      <c r="B610" s="3"/>
      <c r="C610" s="3"/>
      <c r="D610" s="15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3"/>
    </row>
    <row r="611" spans="1:15" x14ac:dyDescent="0.25">
      <c r="A611" s="2"/>
      <c r="B611" s="3"/>
      <c r="C611" s="3"/>
      <c r="D611" s="15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3"/>
    </row>
    <row r="612" spans="1:15" x14ac:dyDescent="0.25">
      <c r="A612" s="2"/>
      <c r="B612" s="3"/>
      <c r="C612" s="3"/>
      <c r="D612" s="15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3"/>
    </row>
    <row r="613" spans="1:15" x14ac:dyDescent="0.25">
      <c r="A613" s="2"/>
      <c r="B613" s="3"/>
      <c r="C613" s="3"/>
      <c r="D613" s="15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3"/>
    </row>
    <row r="614" spans="1:15" x14ac:dyDescent="0.25">
      <c r="A614" s="2"/>
      <c r="B614" s="3"/>
      <c r="C614" s="3"/>
      <c r="D614" s="15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3"/>
    </row>
    <row r="615" spans="1:15" x14ac:dyDescent="0.25">
      <c r="A615" s="2"/>
      <c r="B615" s="3"/>
      <c r="C615" s="3"/>
      <c r="D615" s="15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3"/>
    </row>
    <row r="616" spans="1:15" x14ac:dyDescent="0.25">
      <c r="A616" s="2"/>
      <c r="B616" s="3"/>
      <c r="C616" s="3"/>
      <c r="D616" s="15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3"/>
    </row>
    <row r="617" spans="1:15" x14ac:dyDescent="0.25">
      <c r="A617" s="2"/>
      <c r="B617" s="3"/>
      <c r="C617" s="3"/>
      <c r="D617" s="15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3"/>
    </row>
    <row r="618" spans="1:15" x14ac:dyDescent="0.25">
      <c r="A618" s="2"/>
      <c r="B618" s="3"/>
      <c r="C618" s="3"/>
      <c r="D618" s="15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3"/>
    </row>
    <row r="619" spans="1:15" x14ac:dyDescent="0.25">
      <c r="A619" s="2"/>
      <c r="B619" s="3"/>
      <c r="C619" s="3"/>
      <c r="D619" s="15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3"/>
    </row>
    <row r="620" spans="1:15" x14ac:dyDescent="0.25">
      <c r="A620" s="2"/>
      <c r="B620" s="3"/>
      <c r="C620" s="3"/>
      <c r="D620" s="15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3"/>
    </row>
    <row r="621" spans="1:15" x14ac:dyDescent="0.25">
      <c r="A621" s="2"/>
      <c r="B621" s="3"/>
      <c r="C621" s="3"/>
      <c r="D621" s="15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3"/>
    </row>
    <row r="622" spans="1:15" x14ac:dyDescent="0.25">
      <c r="A622" s="2"/>
      <c r="B622" s="3"/>
      <c r="C622" s="3"/>
      <c r="D622" s="15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3"/>
    </row>
    <row r="623" spans="1:15" x14ac:dyDescent="0.25">
      <c r="A623" s="2"/>
      <c r="B623" s="3"/>
      <c r="C623" s="3"/>
      <c r="D623" s="15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3"/>
    </row>
    <row r="624" spans="1:15" x14ac:dyDescent="0.25">
      <c r="A624" s="2"/>
      <c r="B624" s="3"/>
      <c r="C624" s="3"/>
      <c r="D624" s="15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3"/>
    </row>
    <row r="625" spans="1:15" x14ac:dyDescent="0.25">
      <c r="A625" s="2"/>
      <c r="B625" s="3"/>
      <c r="C625" s="3"/>
      <c r="D625" s="15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3"/>
    </row>
    <row r="626" spans="1:15" x14ac:dyDescent="0.25">
      <c r="A626" s="2"/>
      <c r="B626" s="3"/>
      <c r="C626" s="3"/>
      <c r="D626" s="15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3"/>
    </row>
    <row r="627" spans="1:15" x14ac:dyDescent="0.25">
      <c r="A627" s="2"/>
      <c r="B627" s="3"/>
      <c r="C627" s="3"/>
      <c r="D627" s="15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3"/>
    </row>
    <row r="628" spans="1:15" x14ac:dyDescent="0.25">
      <c r="A628" s="2"/>
      <c r="B628" s="3"/>
      <c r="C628" s="3"/>
      <c r="D628" s="15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3"/>
    </row>
    <row r="629" spans="1:15" x14ac:dyDescent="0.25">
      <c r="A629" s="2"/>
      <c r="B629" s="3"/>
      <c r="C629" s="3"/>
      <c r="D629" s="15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3"/>
    </row>
    <row r="630" spans="1:15" x14ac:dyDescent="0.25">
      <c r="A630" s="2"/>
      <c r="B630" s="3"/>
      <c r="C630" s="3"/>
      <c r="D630" s="15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3"/>
    </row>
    <row r="631" spans="1:15" x14ac:dyDescent="0.25">
      <c r="A631" s="2"/>
      <c r="B631" s="3"/>
      <c r="C631" s="3"/>
      <c r="D631" s="15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3"/>
    </row>
    <row r="632" spans="1:15" x14ac:dyDescent="0.25">
      <c r="A632" s="2"/>
      <c r="B632" s="3"/>
      <c r="C632" s="3"/>
      <c r="D632" s="15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3"/>
    </row>
    <row r="633" spans="1:15" x14ac:dyDescent="0.25">
      <c r="A633" s="2"/>
      <c r="B633" s="3"/>
      <c r="C633" s="3"/>
      <c r="D633" s="15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3"/>
    </row>
    <row r="634" spans="1:15" x14ac:dyDescent="0.25">
      <c r="A634" s="2"/>
      <c r="B634" s="3"/>
      <c r="C634" s="3"/>
      <c r="D634" s="15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3"/>
    </row>
    <row r="635" spans="1:15" x14ac:dyDescent="0.25">
      <c r="A635" s="2"/>
      <c r="B635" s="3"/>
      <c r="C635" s="3"/>
      <c r="D635" s="15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3"/>
    </row>
    <row r="636" spans="1:15" x14ac:dyDescent="0.25">
      <c r="A636" s="2"/>
      <c r="B636" s="3"/>
      <c r="C636" s="3"/>
      <c r="D636" s="15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3"/>
    </row>
    <row r="637" spans="1:15" x14ac:dyDescent="0.25">
      <c r="A637" s="2"/>
      <c r="B637" s="3"/>
      <c r="C637" s="3"/>
      <c r="D637" s="15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3"/>
    </row>
    <row r="638" spans="1:15" x14ac:dyDescent="0.25">
      <c r="A638" s="2"/>
      <c r="B638" s="3"/>
      <c r="C638" s="3"/>
      <c r="D638" s="15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3"/>
    </row>
    <row r="639" spans="1:15" x14ac:dyDescent="0.25">
      <c r="A639" s="2"/>
      <c r="B639" s="3"/>
      <c r="C639" s="3"/>
      <c r="D639" s="15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3"/>
    </row>
    <row r="640" spans="1:15" x14ac:dyDescent="0.25">
      <c r="A640" s="2"/>
      <c r="B640" s="3"/>
      <c r="C640" s="3"/>
      <c r="D640" s="15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3"/>
    </row>
    <row r="641" spans="1:15" x14ac:dyDescent="0.25">
      <c r="A641" s="2"/>
      <c r="B641" s="3"/>
      <c r="C641" s="3"/>
      <c r="D641" s="15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3"/>
    </row>
    <row r="642" spans="1:15" x14ac:dyDescent="0.25">
      <c r="A642" s="2"/>
      <c r="B642" s="3"/>
      <c r="C642" s="3"/>
      <c r="D642" s="15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3"/>
    </row>
    <row r="643" spans="1:15" x14ac:dyDescent="0.25">
      <c r="A643" s="2"/>
      <c r="B643" s="3"/>
      <c r="C643" s="3"/>
      <c r="D643" s="15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3"/>
    </row>
    <row r="644" spans="1:15" x14ac:dyDescent="0.25">
      <c r="A644" s="2"/>
      <c r="B644" s="3"/>
      <c r="C644" s="3"/>
      <c r="D644" s="15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3"/>
    </row>
    <row r="645" spans="1:15" x14ac:dyDescent="0.25">
      <c r="A645" s="2"/>
      <c r="B645" s="3"/>
      <c r="C645" s="3"/>
      <c r="D645" s="15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3"/>
    </row>
    <row r="646" spans="1:15" x14ac:dyDescent="0.25">
      <c r="A646" s="2"/>
      <c r="B646" s="3"/>
      <c r="C646" s="3"/>
      <c r="D646" s="15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3"/>
    </row>
    <row r="647" spans="1:15" x14ac:dyDescent="0.25">
      <c r="A647" s="2"/>
      <c r="B647" s="3"/>
      <c r="C647" s="3"/>
      <c r="D647" s="15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3"/>
    </row>
    <row r="648" spans="1:15" x14ac:dyDescent="0.25">
      <c r="A648" s="2"/>
      <c r="B648" s="3"/>
      <c r="C648" s="3"/>
      <c r="D648" s="15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3"/>
    </row>
    <row r="649" spans="1:15" x14ac:dyDescent="0.25">
      <c r="A649" s="2"/>
      <c r="B649" s="3"/>
      <c r="C649" s="3"/>
      <c r="D649" s="15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3"/>
    </row>
    <row r="650" spans="1:15" x14ac:dyDescent="0.25">
      <c r="A650" s="2"/>
      <c r="B650" s="3"/>
      <c r="C650" s="3"/>
      <c r="D650" s="15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3"/>
    </row>
    <row r="651" spans="1:15" x14ac:dyDescent="0.25">
      <c r="A651" s="2"/>
      <c r="B651" s="3"/>
      <c r="C651" s="3"/>
      <c r="D651" s="15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3"/>
    </row>
    <row r="652" spans="1:15" x14ac:dyDescent="0.25">
      <c r="A652" s="2"/>
      <c r="B652" s="3"/>
      <c r="C652" s="3"/>
      <c r="D652" s="15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3"/>
    </row>
    <row r="653" spans="1:15" x14ac:dyDescent="0.25">
      <c r="A653" s="2"/>
      <c r="B653" s="3"/>
      <c r="C653" s="3"/>
      <c r="D653" s="15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3"/>
    </row>
    <row r="654" spans="1:15" x14ac:dyDescent="0.25">
      <c r="A654" s="2"/>
      <c r="B654" s="3"/>
      <c r="C654" s="3"/>
      <c r="D654" s="15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3"/>
    </row>
    <row r="655" spans="1:15" x14ac:dyDescent="0.25">
      <c r="A655" s="2"/>
      <c r="B655" s="3"/>
      <c r="C655" s="3"/>
      <c r="D655" s="15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3"/>
    </row>
    <row r="656" spans="1:15" x14ac:dyDescent="0.25">
      <c r="A656" s="2"/>
      <c r="B656" s="3"/>
      <c r="C656" s="3"/>
      <c r="D656" s="15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3"/>
    </row>
    <row r="657" spans="1:15" x14ac:dyDescent="0.25">
      <c r="A657" s="2"/>
      <c r="B657" s="3"/>
      <c r="C657" s="3"/>
      <c r="D657" s="15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3"/>
    </row>
    <row r="658" spans="1:15" x14ac:dyDescent="0.25">
      <c r="A658" s="2"/>
      <c r="B658" s="3"/>
      <c r="C658" s="3"/>
      <c r="D658" s="15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3"/>
    </row>
    <row r="659" spans="1:15" x14ac:dyDescent="0.25">
      <c r="A659" s="2"/>
      <c r="B659" s="3"/>
      <c r="C659" s="3"/>
      <c r="D659" s="15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3"/>
    </row>
    <row r="660" spans="1:15" x14ac:dyDescent="0.25">
      <c r="A660" s="2"/>
      <c r="B660" s="3"/>
      <c r="C660" s="3"/>
      <c r="D660" s="15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3"/>
    </row>
    <row r="661" spans="1:15" x14ac:dyDescent="0.25">
      <c r="A661" s="2"/>
      <c r="B661" s="3"/>
      <c r="C661" s="3"/>
      <c r="D661" s="15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3"/>
    </row>
    <row r="662" spans="1:15" x14ac:dyDescent="0.25">
      <c r="A662" s="2"/>
      <c r="B662" s="3"/>
      <c r="C662" s="3"/>
      <c r="D662" s="15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3"/>
    </row>
    <row r="663" spans="1:15" x14ac:dyDescent="0.25">
      <c r="A663" s="2"/>
      <c r="B663" s="3"/>
      <c r="C663" s="3"/>
      <c r="D663" s="15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3"/>
    </row>
    <row r="664" spans="1:15" x14ac:dyDescent="0.25">
      <c r="A664" s="2"/>
      <c r="B664" s="3"/>
      <c r="C664" s="3"/>
      <c r="D664" s="15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3"/>
    </row>
    <row r="665" spans="1:15" x14ac:dyDescent="0.25">
      <c r="A665" s="2"/>
      <c r="B665" s="3"/>
      <c r="C665" s="3"/>
      <c r="D665" s="15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3"/>
    </row>
    <row r="666" spans="1:15" x14ac:dyDescent="0.25">
      <c r="A666" s="2"/>
      <c r="B666" s="3"/>
      <c r="C666" s="3"/>
      <c r="D666" s="15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3"/>
    </row>
    <row r="667" spans="1:15" x14ac:dyDescent="0.25">
      <c r="A667" s="2"/>
      <c r="B667" s="3"/>
      <c r="C667" s="3"/>
      <c r="D667" s="15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3"/>
    </row>
    <row r="668" spans="1:15" x14ac:dyDescent="0.25">
      <c r="A668" s="2"/>
      <c r="B668" s="3"/>
      <c r="C668" s="3"/>
      <c r="D668" s="15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3"/>
    </row>
    <row r="669" spans="1:15" x14ac:dyDescent="0.25">
      <c r="A669" s="2"/>
      <c r="B669" s="3"/>
      <c r="C669" s="3"/>
      <c r="D669" s="15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3"/>
    </row>
    <row r="670" spans="1:15" x14ac:dyDescent="0.25">
      <c r="A670" s="2"/>
      <c r="B670" s="3"/>
      <c r="C670" s="3"/>
      <c r="D670" s="15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3"/>
    </row>
    <row r="671" spans="1:15" x14ac:dyDescent="0.25">
      <c r="A671" s="2"/>
      <c r="B671" s="3"/>
      <c r="C671" s="3"/>
      <c r="D671" s="15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3"/>
    </row>
    <row r="672" spans="1:15" x14ac:dyDescent="0.25">
      <c r="A672" s="2"/>
      <c r="B672" s="3"/>
      <c r="C672" s="3"/>
      <c r="D672" s="15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3"/>
    </row>
    <row r="673" spans="1:15" x14ac:dyDescent="0.25">
      <c r="A673" s="2"/>
      <c r="B673" s="3"/>
      <c r="C673" s="3"/>
      <c r="D673" s="15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3"/>
    </row>
    <row r="674" spans="1:15" x14ac:dyDescent="0.25">
      <c r="A674" s="2"/>
      <c r="B674" s="3"/>
      <c r="C674" s="3"/>
      <c r="D674" s="15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3"/>
    </row>
    <row r="675" spans="1:15" x14ac:dyDescent="0.25">
      <c r="A675" s="2"/>
      <c r="B675" s="3"/>
      <c r="C675" s="3"/>
      <c r="D675" s="15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3"/>
    </row>
    <row r="676" spans="1:15" x14ac:dyDescent="0.25">
      <c r="A676" s="2"/>
      <c r="B676" s="3"/>
      <c r="C676" s="3"/>
      <c r="D676" s="15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3"/>
    </row>
    <row r="677" spans="1:15" x14ac:dyDescent="0.25">
      <c r="A677" s="2"/>
      <c r="B677" s="3"/>
      <c r="C677" s="3"/>
      <c r="D677" s="15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3"/>
    </row>
    <row r="678" spans="1:15" x14ac:dyDescent="0.25">
      <c r="A678" s="2"/>
      <c r="B678" s="3"/>
      <c r="C678" s="3"/>
      <c r="D678" s="15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3"/>
    </row>
    <row r="679" spans="1:15" x14ac:dyDescent="0.25">
      <c r="A679" s="2"/>
      <c r="B679" s="3"/>
      <c r="C679" s="3"/>
      <c r="D679" s="15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3"/>
    </row>
    <row r="680" spans="1:15" x14ac:dyDescent="0.25">
      <c r="A680" s="2"/>
      <c r="B680" s="3"/>
      <c r="C680" s="3"/>
      <c r="D680" s="15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3"/>
    </row>
    <row r="681" spans="1:15" x14ac:dyDescent="0.25">
      <c r="A681" s="2"/>
      <c r="B681" s="3"/>
      <c r="C681" s="3"/>
      <c r="D681" s="15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3"/>
    </row>
    <row r="682" spans="1:15" x14ac:dyDescent="0.25">
      <c r="A682" s="2"/>
      <c r="B682" s="3"/>
      <c r="C682" s="3"/>
      <c r="D682" s="15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3"/>
    </row>
    <row r="683" spans="1:15" x14ac:dyDescent="0.25">
      <c r="A683" s="2"/>
      <c r="B683" s="3"/>
      <c r="C683" s="3"/>
      <c r="D683" s="15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3"/>
    </row>
    <row r="684" spans="1:15" x14ac:dyDescent="0.25">
      <c r="A684" s="2"/>
      <c r="B684" s="3"/>
      <c r="C684" s="3"/>
      <c r="D684" s="15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3"/>
    </row>
    <row r="685" spans="1:15" x14ac:dyDescent="0.25">
      <c r="A685" s="2"/>
      <c r="B685" s="3"/>
      <c r="C685" s="3"/>
      <c r="D685" s="15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3"/>
    </row>
    <row r="686" spans="1:15" x14ac:dyDescent="0.25">
      <c r="A686" s="2"/>
      <c r="B686" s="3"/>
      <c r="C686" s="3"/>
      <c r="D686" s="15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3"/>
    </row>
    <row r="687" spans="1:15" x14ac:dyDescent="0.25">
      <c r="A687" s="2"/>
      <c r="B687" s="3"/>
      <c r="C687" s="3"/>
      <c r="D687" s="15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3"/>
    </row>
    <row r="688" spans="1:15" x14ac:dyDescent="0.25">
      <c r="A688" s="2"/>
      <c r="B688" s="3"/>
      <c r="C688" s="3"/>
      <c r="D688" s="15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3"/>
    </row>
    <row r="689" spans="1:15" x14ac:dyDescent="0.25">
      <c r="A689" s="2"/>
      <c r="B689" s="3"/>
      <c r="C689" s="3"/>
      <c r="D689" s="15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3"/>
    </row>
    <row r="690" spans="1:15" x14ac:dyDescent="0.25">
      <c r="A690" s="2"/>
      <c r="B690" s="3"/>
      <c r="C690" s="3"/>
      <c r="D690" s="15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3"/>
    </row>
    <row r="691" spans="1:15" x14ac:dyDescent="0.25">
      <c r="A691" s="2"/>
      <c r="B691" s="3"/>
      <c r="C691" s="3"/>
      <c r="D691" s="15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3"/>
    </row>
    <row r="692" spans="1:15" x14ac:dyDescent="0.25">
      <c r="A692" s="2"/>
      <c r="B692" s="3"/>
      <c r="C692" s="3"/>
      <c r="D692" s="15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3"/>
    </row>
    <row r="693" spans="1:15" x14ac:dyDescent="0.25">
      <c r="A693" s="2"/>
      <c r="B693" s="3"/>
      <c r="C693" s="3"/>
      <c r="D693" s="15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3"/>
    </row>
    <row r="694" spans="1:15" x14ac:dyDescent="0.25">
      <c r="A694" s="2"/>
      <c r="B694" s="3"/>
      <c r="C694" s="3"/>
      <c r="D694" s="15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3"/>
    </row>
    <row r="695" spans="1:15" x14ac:dyDescent="0.25">
      <c r="A695" s="2"/>
      <c r="B695" s="3"/>
      <c r="C695" s="3"/>
      <c r="D695" s="15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3"/>
    </row>
    <row r="696" spans="1:15" x14ac:dyDescent="0.25">
      <c r="A696" s="2"/>
      <c r="B696" s="3"/>
      <c r="C696" s="3"/>
      <c r="D696" s="15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3"/>
    </row>
    <row r="697" spans="1:15" x14ac:dyDescent="0.25">
      <c r="A697" s="2"/>
      <c r="B697" s="3"/>
      <c r="C697" s="3"/>
      <c r="D697" s="15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3"/>
    </row>
    <row r="698" spans="1:15" x14ac:dyDescent="0.25">
      <c r="A698" s="2"/>
      <c r="B698" s="3"/>
      <c r="C698" s="3"/>
      <c r="D698" s="15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3"/>
    </row>
    <row r="699" spans="1:15" x14ac:dyDescent="0.25">
      <c r="A699" s="2"/>
      <c r="B699" s="3"/>
      <c r="C699" s="3"/>
      <c r="D699" s="15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3"/>
    </row>
    <row r="700" spans="1:15" x14ac:dyDescent="0.25">
      <c r="A700" s="2"/>
      <c r="B700" s="3"/>
      <c r="C700" s="3"/>
      <c r="D700" s="15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3"/>
    </row>
    <row r="701" spans="1:15" x14ac:dyDescent="0.25">
      <c r="A701" s="2"/>
      <c r="B701" s="3"/>
      <c r="C701" s="3"/>
      <c r="D701" s="15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3"/>
    </row>
    <row r="702" spans="1:15" x14ac:dyDescent="0.25">
      <c r="A702" s="2"/>
      <c r="B702" s="3"/>
      <c r="C702" s="3"/>
      <c r="D702" s="15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3"/>
    </row>
    <row r="703" spans="1:15" x14ac:dyDescent="0.25">
      <c r="A703" s="2"/>
      <c r="B703" s="3"/>
      <c r="C703" s="3"/>
      <c r="D703" s="15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3"/>
    </row>
    <row r="704" spans="1:15" x14ac:dyDescent="0.25">
      <c r="A704" s="2"/>
      <c r="B704" s="3"/>
      <c r="C704" s="3"/>
      <c r="D704" s="15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3"/>
    </row>
    <row r="705" spans="1:15" x14ac:dyDescent="0.25">
      <c r="A705" s="2"/>
      <c r="B705" s="3"/>
      <c r="C705" s="3"/>
      <c r="D705" s="15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3"/>
    </row>
    <row r="706" spans="1:15" x14ac:dyDescent="0.25">
      <c r="A706" s="2"/>
      <c r="B706" s="3"/>
      <c r="C706" s="3"/>
      <c r="D706" s="15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3"/>
    </row>
    <row r="707" spans="1:15" x14ac:dyDescent="0.25">
      <c r="A707" s="2"/>
      <c r="B707" s="3"/>
      <c r="C707" s="3"/>
      <c r="D707" s="15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3"/>
    </row>
    <row r="708" spans="1:15" x14ac:dyDescent="0.25">
      <c r="A708" s="2"/>
      <c r="B708" s="3"/>
      <c r="C708" s="3"/>
      <c r="D708" s="15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3"/>
    </row>
    <row r="709" spans="1:15" x14ac:dyDescent="0.25">
      <c r="A709" s="2"/>
      <c r="B709" s="3"/>
      <c r="C709" s="3"/>
      <c r="D709" s="15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3"/>
    </row>
    <row r="710" spans="1:15" x14ac:dyDescent="0.25">
      <c r="A710" s="2"/>
      <c r="B710" s="3"/>
      <c r="C710" s="3"/>
      <c r="D710" s="15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3"/>
    </row>
    <row r="711" spans="1:15" x14ac:dyDescent="0.25">
      <c r="A711" s="2"/>
      <c r="B711" s="3"/>
      <c r="C711" s="3"/>
      <c r="D711" s="15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3"/>
    </row>
    <row r="712" spans="1:15" x14ac:dyDescent="0.25">
      <c r="A712" s="2"/>
      <c r="B712" s="3"/>
      <c r="C712" s="3"/>
      <c r="D712" s="15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3"/>
    </row>
    <row r="713" spans="1:15" x14ac:dyDescent="0.25">
      <c r="A713" s="2"/>
      <c r="B713" s="3"/>
      <c r="C713" s="3"/>
      <c r="D713" s="15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3"/>
    </row>
    <row r="714" spans="1:15" x14ac:dyDescent="0.25">
      <c r="A714" s="2"/>
      <c r="B714" s="3"/>
      <c r="C714" s="3"/>
      <c r="D714" s="15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3"/>
    </row>
    <row r="715" spans="1:15" x14ac:dyDescent="0.25">
      <c r="A715" s="2"/>
      <c r="B715" s="3"/>
      <c r="C715" s="3"/>
      <c r="D715" s="15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3"/>
    </row>
    <row r="716" spans="1:15" x14ac:dyDescent="0.25">
      <c r="A716" s="2"/>
      <c r="B716" s="3"/>
      <c r="C716" s="3"/>
      <c r="D716" s="15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3"/>
    </row>
    <row r="717" spans="1:15" x14ac:dyDescent="0.25">
      <c r="A717" s="2"/>
      <c r="B717" s="3"/>
      <c r="C717" s="3"/>
      <c r="D717" s="15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3"/>
    </row>
    <row r="718" spans="1:15" x14ac:dyDescent="0.25">
      <c r="A718" s="2"/>
      <c r="B718" s="3"/>
      <c r="C718" s="3"/>
      <c r="D718" s="15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3"/>
    </row>
    <row r="719" spans="1:15" x14ac:dyDescent="0.25">
      <c r="A719" s="2"/>
      <c r="B719" s="3"/>
      <c r="C719" s="3"/>
      <c r="D719" s="15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3"/>
    </row>
    <row r="720" spans="1:15" x14ac:dyDescent="0.25">
      <c r="A720" s="2"/>
      <c r="B720" s="3"/>
      <c r="C720" s="3"/>
      <c r="D720" s="15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3"/>
    </row>
    <row r="721" spans="1:15" x14ac:dyDescent="0.25">
      <c r="A721" s="2"/>
      <c r="B721" s="3"/>
      <c r="C721" s="3"/>
      <c r="D721" s="15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3"/>
    </row>
    <row r="722" spans="1:15" x14ac:dyDescent="0.25">
      <c r="A722" s="2"/>
      <c r="B722" s="3"/>
      <c r="C722" s="3"/>
      <c r="D722" s="15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3"/>
    </row>
    <row r="723" spans="1:15" x14ac:dyDescent="0.25">
      <c r="A723" s="2"/>
      <c r="B723" s="3"/>
      <c r="C723" s="3"/>
      <c r="D723" s="15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3"/>
    </row>
    <row r="724" spans="1:15" x14ac:dyDescent="0.25">
      <c r="A724" s="2"/>
      <c r="B724" s="3"/>
      <c r="C724" s="3"/>
      <c r="D724" s="15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3"/>
    </row>
    <row r="725" spans="1:15" x14ac:dyDescent="0.25">
      <c r="A725" s="2"/>
      <c r="B725" s="3"/>
      <c r="C725" s="3"/>
      <c r="D725" s="15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3"/>
    </row>
    <row r="726" spans="1:15" x14ac:dyDescent="0.25">
      <c r="A726" s="2"/>
      <c r="B726" s="3"/>
      <c r="C726" s="3"/>
      <c r="D726" s="15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3"/>
    </row>
    <row r="727" spans="1:15" x14ac:dyDescent="0.25">
      <c r="A727" s="2"/>
      <c r="B727" s="3"/>
      <c r="C727" s="3"/>
      <c r="D727" s="15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3"/>
    </row>
    <row r="728" spans="1:15" x14ac:dyDescent="0.25">
      <c r="A728" s="2"/>
      <c r="B728" s="3"/>
      <c r="C728" s="3"/>
      <c r="D728" s="15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3"/>
    </row>
    <row r="729" spans="1:15" x14ac:dyDescent="0.25">
      <c r="A729" s="2"/>
      <c r="B729" s="3"/>
      <c r="C729" s="3"/>
      <c r="D729" s="15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3"/>
    </row>
    <row r="730" spans="1:15" x14ac:dyDescent="0.25">
      <c r="A730" s="2"/>
      <c r="B730" s="3"/>
      <c r="C730" s="3"/>
      <c r="D730" s="15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3"/>
    </row>
    <row r="731" spans="1:15" x14ac:dyDescent="0.25">
      <c r="A731" s="2"/>
      <c r="B731" s="3"/>
      <c r="C731" s="3"/>
      <c r="D731" s="15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3"/>
    </row>
    <row r="732" spans="1:15" x14ac:dyDescent="0.25">
      <c r="A732" s="2"/>
      <c r="B732" s="3"/>
      <c r="C732" s="3"/>
      <c r="D732" s="15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3"/>
    </row>
    <row r="733" spans="1:15" x14ac:dyDescent="0.25">
      <c r="A733" s="2"/>
      <c r="B733" s="3"/>
      <c r="C733" s="3"/>
      <c r="D733" s="15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3"/>
    </row>
    <row r="734" spans="1:15" x14ac:dyDescent="0.25">
      <c r="A734" s="2"/>
      <c r="B734" s="3"/>
      <c r="C734" s="3"/>
      <c r="D734" s="15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3"/>
    </row>
    <row r="735" spans="1:15" x14ac:dyDescent="0.25">
      <c r="A735" s="2"/>
      <c r="B735" s="3"/>
      <c r="C735" s="3"/>
      <c r="D735" s="15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3"/>
    </row>
    <row r="736" spans="1:15" x14ac:dyDescent="0.25">
      <c r="A736" s="2"/>
      <c r="B736" s="3"/>
      <c r="C736" s="3"/>
      <c r="D736" s="15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3"/>
    </row>
    <row r="737" spans="1:15" x14ac:dyDescent="0.25">
      <c r="A737" s="2"/>
      <c r="B737" s="3"/>
      <c r="C737" s="3"/>
      <c r="D737" s="15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3"/>
    </row>
    <row r="738" spans="1:15" x14ac:dyDescent="0.25">
      <c r="A738" s="2"/>
      <c r="B738" s="3"/>
      <c r="C738" s="3"/>
      <c r="D738" s="15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3"/>
    </row>
    <row r="739" spans="1:15" x14ac:dyDescent="0.25">
      <c r="A739" s="2"/>
      <c r="B739" s="3"/>
      <c r="C739" s="3"/>
      <c r="D739" s="15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3"/>
    </row>
    <row r="740" spans="1:15" x14ac:dyDescent="0.25">
      <c r="A740" s="2"/>
      <c r="B740" s="3"/>
      <c r="C740" s="3"/>
      <c r="D740" s="15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3"/>
    </row>
    <row r="741" spans="1:15" x14ac:dyDescent="0.25">
      <c r="A741" s="2"/>
      <c r="B741" s="3"/>
      <c r="C741" s="3"/>
      <c r="D741" s="15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3"/>
    </row>
    <row r="742" spans="1:15" x14ac:dyDescent="0.25">
      <c r="A742" s="2"/>
      <c r="B742" s="3"/>
      <c r="C742" s="3"/>
      <c r="D742" s="15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3"/>
    </row>
    <row r="743" spans="1:15" x14ac:dyDescent="0.25">
      <c r="A743" s="2"/>
      <c r="B743" s="3"/>
      <c r="C743" s="3"/>
      <c r="D743" s="15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3"/>
    </row>
    <row r="744" spans="1:15" x14ac:dyDescent="0.25">
      <c r="A744" s="2"/>
      <c r="B744" s="3"/>
      <c r="C744" s="3"/>
      <c r="D744" s="15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3"/>
    </row>
    <row r="745" spans="1:15" x14ac:dyDescent="0.25">
      <c r="A745" s="2"/>
      <c r="B745" s="3"/>
      <c r="C745" s="3"/>
      <c r="D745" s="15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3"/>
    </row>
    <row r="746" spans="1:15" x14ac:dyDescent="0.25">
      <c r="A746" s="2"/>
      <c r="B746" s="3"/>
      <c r="C746" s="3"/>
      <c r="D746" s="15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3"/>
    </row>
    <row r="747" spans="1:15" x14ac:dyDescent="0.25">
      <c r="A747" s="2"/>
      <c r="B747" s="3"/>
      <c r="C747" s="3"/>
      <c r="D747" s="15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3"/>
    </row>
    <row r="748" spans="1:15" x14ac:dyDescent="0.25">
      <c r="A748" s="2"/>
      <c r="B748" s="3"/>
      <c r="C748" s="3"/>
      <c r="D748" s="15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3"/>
    </row>
    <row r="749" spans="1:15" x14ac:dyDescent="0.25">
      <c r="A749" s="2"/>
      <c r="B749" s="3"/>
      <c r="C749" s="3"/>
      <c r="D749" s="15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3"/>
    </row>
    <row r="750" spans="1:15" x14ac:dyDescent="0.25">
      <c r="A750" s="2"/>
      <c r="B750" s="3"/>
      <c r="C750" s="3"/>
      <c r="D750" s="15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3"/>
    </row>
    <row r="751" spans="1:15" x14ac:dyDescent="0.25">
      <c r="A751" s="2"/>
      <c r="B751" s="3"/>
      <c r="C751" s="3"/>
      <c r="D751" s="15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3"/>
    </row>
    <row r="752" spans="1:15" x14ac:dyDescent="0.25">
      <c r="A752" s="2"/>
      <c r="B752" s="3"/>
      <c r="C752" s="3"/>
      <c r="D752" s="15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3"/>
    </row>
    <row r="753" spans="1:15" x14ac:dyDescent="0.25">
      <c r="A753" s="2"/>
      <c r="B753" s="3"/>
      <c r="C753" s="3"/>
      <c r="D753" s="15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3"/>
    </row>
    <row r="754" spans="1:15" x14ac:dyDescent="0.25">
      <c r="A754" s="2"/>
      <c r="B754" s="3"/>
      <c r="C754" s="3"/>
      <c r="D754" s="15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3"/>
    </row>
    <row r="755" spans="1:15" x14ac:dyDescent="0.25">
      <c r="A755" s="2"/>
      <c r="B755" s="3"/>
      <c r="C755" s="3"/>
      <c r="D755" s="15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3"/>
    </row>
    <row r="756" spans="1:15" x14ac:dyDescent="0.25">
      <c r="A756" s="2"/>
      <c r="B756" s="3"/>
      <c r="C756" s="3"/>
      <c r="D756" s="15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3"/>
    </row>
    <row r="757" spans="1:15" x14ac:dyDescent="0.25">
      <c r="A757" s="2"/>
      <c r="B757" s="3"/>
      <c r="C757" s="3"/>
      <c r="D757" s="15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3"/>
    </row>
    <row r="758" spans="1:15" x14ac:dyDescent="0.25">
      <c r="A758" s="2"/>
      <c r="B758" s="3"/>
      <c r="C758" s="3"/>
      <c r="D758" s="15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3"/>
    </row>
    <row r="759" spans="1:15" x14ac:dyDescent="0.25">
      <c r="A759" s="2"/>
      <c r="B759" s="3"/>
      <c r="C759" s="3"/>
      <c r="D759" s="15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3"/>
    </row>
    <row r="760" spans="1:15" x14ac:dyDescent="0.25">
      <c r="A760" s="2"/>
      <c r="B760" s="3"/>
      <c r="C760" s="3"/>
      <c r="D760" s="15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3"/>
    </row>
    <row r="761" spans="1:15" x14ac:dyDescent="0.25">
      <c r="A761" s="2"/>
      <c r="B761" s="3"/>
      <c r="C761" s="3"/>
      <c r="D761" s="15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3"/>
    </row>
    <row r="762" spans="1:15" x14ac:dyDescent="0.25">
      <c r="A762" s="2"/>
      <c r="B762" s="3"/>
      <c r="C762" s="3"/>
      <c r="D762" s="15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3"/>
    </row>
    <row r="763" spans="1:15" x14ac:dyDescent="0.25">
      <c r="A763" s="2"/>
      <c r="B763" s="3"/>
      <c r="C763" s="3"/>
      <c r="D763" s="15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3"/>
    </row>
    <row r="764" spans="1:15" x14ac:dyDescent="0.25">
      <c r="A764" s="2"/>
      <c r="B764" s="3"/>
      <c r="C764" s="3"/>
      <c r="D764" s="15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3"/>
    </row>
    <row r="765" spans="1:15" x14ac:dyDescent="0.25">
      <c r="A765" s="2"/>
      <c r="B765" s="3"/>
      <c r="C765" s="3"/>
      <c r="D765" s="15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3"/>
    </row>
    <row r="766" spans="1:15" x14ac:dyDescent="0.25">
      <c r="A766" s="2"/>
      <c r="B766" s="3"/>
      <c r="C766" s="3"/>
      <c r="D766" s="15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3"/>
    </row>
    <row r="767" spans="1:15" x14ac:dyDescent="0.25">
      <c r="A767" s="2"/>
      <c r="B767" s="3"/>
      <c r="C767" s="3"/>
      <c r="D767" s="15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3"/>
    </row>
    <row r="768" spans="1:15" x14ac:dyDescent="0.25">
      <c r="A768" s="2"/>
      <c r="B768" s="3"/>
      <c r="C768" s="3"/>
      <c r="D768" s="15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3"/>
    </row>
    <row r="769" spans="1:15" x14ac:dyDescent="0.25">
      <c r="A769" s="2"/>
      <c r="B769" s="3"/>
      <c r="C769" s="3"/>
      <c r="D769" s="15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3"/>
    </row>
    <row r="770" spans="1:15" x14ac:dyDescent="0.25">
      <c r="A770" s="2"/>
      <c r="B770" s="3"/>
      <c r="C770" s="3"/>
      <c r="D770" s="15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3"/>
    </row>
    <row r="771" spans="1:15" x14ac:dyDescent="0.25">
      <c r="A771" s="2"/>
      <c r="B771" s="3"/>
      <c r="C771" s="3"/>
      <c r="D771" s="15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3"/>
    </row>
    <row r="772" spans="1:15" x14ac:dyDescent="0.25">
      <c r="A772" s="2"/>
      <c r="B772" s="3"/>
      <c r="C772" s="3"/>
      <c r="D772" s="15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3"/>
    </row>
    <row r="773" spans="1:15" x14ac:dyDescent="0.25">
      <c r="A773" s="2"/>
      <c r="B773" s="3"/>
      <c r="C773" s="3"/>
      <c r="D773" s="15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3"/>
    </row>
    <row r="774" spans="1:15" x14ac:dyDescent="0.25">
      <c r="A774" s="2"/>
      <c r="B774" s="3"/>
      <c r="C774" s="3"/>
      <c r="D774" s="15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3"/>
    </row>
    <row r="775" spans="1:15" x14ac:dyDescent="0.25">
      <c r="A775" s="2"/>
      <c r="B775" s="3"/>
      <c r="C775" s="3"/>
      <c r="D775" s="15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3"/>
    </row>
    <row r="776" spans="1:15" x14ac:dyDescent="0.25">
      <c r="A776" s="2"/>
      <c r="B776" s="3"/>
      <c r="C776" s="3"/>
      <c r="D776" s="15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3"/>
    </row>
    <row r="777" spans="1:15" x14ac:dyDescent="0.25">
      <c r="A777" s="2"/>
      <c r="B777" s="3"/>
      <c r="C777" s="3"/>
      <c r="D777" s="15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3"/>
    </row>
    <row r="778" spans="1:15" x14ac:dyDescent="0.25">
      <c r="A778" s="2"/>
      <c r="B778" s="3"/>
      <c r="C778" s="3"/>
      <c r="D778" s="15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3"/>
    </row>
    <row r="779" spans="1:15" x14ac:dyDescent="0.25">
      <c r="A779" s="2"/>
      <c r="B779" s="3"/>
      <c r="C779" s="3"/>
      <c r="D779" s="15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3"/>
    </row>
    <row r="780" spans="1:15" x14ac:dyDescent="0.25">
      <c r="A780" s="2"/>
      <c r="B780" s="3"/>
      <c r="C780" s="3"/>
      <c r="D780" s="15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3"/>
    </row>
    <row r="781" spans="1:15" x14ac:dyDescent="0.25">
      <c r="A781" s="2"/>
      <c r="B781" s="3"/>
      <c r="C781" s="3"/>
      <c r="D781" s="15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3"/>
    </row>
    <row r="782" spans="1:15" x14ac:dyDescent="0.25">
      <c r="A782" s="2"/>
      <c r="B782" s="3"/>
      <c r="C782" s="3"/>
      <c r="D782" s="15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3"/>
    </row>
    <row r="783" spans="1:15" x14ac:dyDescent="0.25">
      <c r="A783" s="2"/>
      <c r="B783" s="3"/>
      <c r="C783" s="3"/>
      <c r="D783" s="15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3"/>
    </row>
    <row r="784" spans="1:15" x14ac:dyDescent="0.25">
      <c r="A784" s="2"/>
      <c r="B784" s="3"/>
      <c r="C784" s="3"/>
      <c r="D784" s="15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3"/>
    </row>
    <row r="785" spans="1:15" x14ac:dyDescent="0.25">
      <c r="A785" s="2"/>
      <c r="B785" s="3"/>
      <c r="C785" s="3"/>
      <c r="D785" s="15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3"/>
    </row>
    <row r="786" spans="1:15" x14ac:dyDescent="0.25">
      <c r="A786" s="2"/>
      <c r="B786" s="3"/>
      <c r="C786" s="3"/>
      <c r="D786" s="15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3"/>
    </row>
    <row r="787" spans="1:15" x14ac:dyDescent="0.25">
      <c r="A787" s="2"/>
      <c r="B787" s="3"/>
      <c r="C787" s="3"/>
      <c r="D787" s="15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3"/>
    </row>
    <row r="788" spans="1:15" x14ac:dyDescent="0.25">
      <c r="A788" s="2"/>
      <c r="B788" s="3"/>
      <c r="C788" s="3"/>
      <c r="D788" s="15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3"/>
    </row>
    <row r="789" spans="1:15" x14ac:dyDescent="0.25">
      <c r="A789" s="2"/>
      <c r="B789" s="3"/>
      <c r="C789" s="3"/>
      <c r="D789" s="15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3"/>
    </row>
    <row r="790" spans="1:15" x14ac:dyDescent="0.25">
      <c r="A790" s="2"/>
      <c r="B790" s="3"/>
      <c r="C790" s="3"/>
      <c r="D790" s="15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3"/>
    </row>
    <row r="791" spans="1:15" x14ac:dyDescent="0.25">
      <c r="A791" s="2"/>
      <c r="B791" s="3"/>
      <c r="C791" s="3"/>
      <c r="D791" s="15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3"/>
    </row>
    <row r="792" spans="1:15" x14ac:dyDescent="0.25">
      <c r="A792" s="2"/>
      <c r="B792" s="3"/>
      <c r="C792" s="3"/>
      <c r="D792" s="15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3"/>
    </row>
    <row r="793" spans="1:15" x14ac:dyDescent="0.25">
      <c r="A793" s="2"/>
      <c r="B793" s="3"/>
      <c r="C793" s="3"/>
      <c r="D793" s="15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3"/>
    </row>
    <row r="794" spans="1:15" x14ac:dyDescent="0.25">
      <c r="A794" s="2"/>
      <c r="B794" s="3"/>
      <c r="C794" s="3"/>
      <c r="D794" s="15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3"/>
    </row>
    <row r="795" spans="1:15" x14ac:dyDescent="0.25">
      <c r="A795" s="2"/>
      <c r="B795" s="3"/>
      <c r="C795" s="3"/>
      <c r="D795" s="15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3"/>
    </row>
    <row r="796" spans="1:15" x14ac:dyDescent="0.25">
      <c r="A796" s="2"/>
      <c r="B796" s="3"/>
      <c r="C796" s="3"/>
      <c r="D796" s="15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3"/>
    </row>
    <row r="797" spans="1:15" x14ac:dyDescent="0.25">
      <c r="A797" s="2"/>
      <c r="B797" s="3"/>
      <c r="C797" s="3"/>
      <c r="D797" s="15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3"/>
    </row>
    <row r="798" spans="1:15" x14ac:dyDescent="0.25">
      <c r="A798" s="2"/>
      <c r="B798" s="3"/>
      <c r="C798" s="3"/>
      <c r="D798" s="15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3"/>
    </row>
    <row r="799" spans="1:15" x14ac:dyDescent="0.25">
      <c r="A799" s="2"/>
      <c r="B799" s="3"/>
      <c r="C799" s="3"/>
      <c r="D799" s="15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3"/>
    </row>
    <row r="800" spans="1:15" x14ac:dyDescent="0.25">
      <c r="A800" s="2"/>
      <c r="B800" s="3"/>
      <c r="C800" s="3"/>
      <c r="D800" s="15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3"/>
    </row>
    <row r="801" spans="1:15" x14ac:dyDescent="0.25">
      <c r="A801" s="2"/>
      <c r="B801" s="3"/>
      <c r="C801" s="3"/>
      <c r="D801" s="15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3"/>
    </row>
    <row r="802" spans="1:15" x14ac:dyDescent="0.25">
      <c r="A802" s="2"/>
      <c r="B802" s="3"/>
      <c r="C802" s="3"/>
      <c r="D802" s="15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3"/>
    </row>
    <row r="803" spans="1:15" x14ac:dyDescent="0.25">
      <c r="A803" s="2"/>
      <c r="B803" s="3"/>
      <c r="C803" s="3"/>
      <c r="D803" s="15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3"/>
    </row>
    <row r="804" spans="1:15" x14ac:dyDescent="0.25">
      <c r="A804" s="2"/>
      <c r="B804" s="3"/>
      <c r="C804" s="3"/>
      <c r="D804" s="15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3"/>
    </row>
    <row r="805" spans="1:15" x14ac:dyDescent="0.25">
      <c r="A805" s="2"/>
      <c r="B805" s="3"/>
      <c r="C805" s="3"/>
      <c r="D805" s="15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3"/>
    </row>
    <row r="806" spans="1:15" x14ac:dyDescent="0.25">
      <c r="A806" s="2"/>
      <c r="B806" s="3"/>
      <c r="C806" s="3"/>
      <c r="D806" s="15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3"/>
    </row>
    <row r="807" spans="1:15" x14ac:dyDescent="0.25">
      <c r="A807" s="2"/>
      <c r="B807" s="3"/>
      <c r="C807" s="3"/>
      <c r="D807" s="15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3"/>
    </row>
    <row r="808" spans="1:15" x14ac:dyDescent="0.25">
      <c r="A808" s="2"/>
      <c r="B808" s="3"/>
      <c r="C808" s="3"/>
      <c r="D808" s="15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3"/>
    </row>
    <row r="809" spans="1:15" x14ac:dyDescent="0.25">
      <c r="A809" s="2"/>
      <c r="B809" s="3"/>
      <c r="C809" s="3"/>
      <c r="D809" s="15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3"/>
    </row>
    <row r="810" spans="1:15" x14ac:dyDescent="0.25">
      <c r="A810" s="2"/>
      <c r="B810" s="3"/>
      <c r="C810" s="3"/>
      <c r="D810" s="15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3"/>
    </row>
    <row r="811" spans="1:15" x14ac:dyDescent="0.25">
      <c r="A811" s="2"/>
      <c r="B811" s="3"/>
      <c r="C811" s="3"/>
      <c r="D811" s="15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3"/>
    </row>
    <row r="812" spans="1:15" x14ac:dyDescent="0.25">
      <c r="A812" s="2"/>
      <c r="B812" s="3"/>
      <c r="C812" s="3"/>
      <c r="D812" s="15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3"/>
    </row>
    <row r="813" spans="1:15" x14ac:dyDescent="0.25">
      <c r="A813" s="2"/>
      <c r="B813" s="3"/>
      <c r="C813" s="3"/>
      <c r="D813" s="15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3"/>
    </row>
    <row r="814" spans="1:15" x14ac:dyDescent="0.25">
      <c r="A814" s="2"/>
      <c r="B814" s="3"/>
      <c r="C814" s="3"/>
      <c r="D814" s="15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3"/>
    </row>
    <row r="815" spans="1:15" x14ac:dyDescent="0.25">
      <c r="A815" s="2"/>
      <c r="B815" s="3"/>
      <c r="C815" s="3"/>
      <c r="D815" s="15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3"/>
    </row>
    <row r="816" spans="1:15" x14ac:dyDescent="0.25">
      <c r="A816" s="2"/>
      <c r="B816" s="3"/>
      <c r="C816" s="3"/>
      <c r="D816" s="15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3"/>
    </row>
    <row r="817" spans="1:15" x14ac:dyDescent="0.25">
      <c r="A817" s="2"/>
      <c r="B817" s="3"/>
      <c r="C817" s="3"/>
      <c r="D817" s="15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3"/>
    </row>
    <row r="818" spans="1:15" x14ac:dyDescent="0.25">
      <c r="A818" s="2"/>
      <c r="B818" s="3"/>
      <c r="C818" s="3"/>
      <c r="D818" s="15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3"/>
    </row>
    <row r="819" spans="1:15" x14ac:dyDescent="0.25">
      <c r="A819" s="2"/>
      <c r="B819" s="3"/>
      <c r="C819" s="3"/>
      <c r="D819" s="15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3"/>
    </row>
    <row r="820" spans="1:15" x14ac:dyDescent="0.25">
      <c r="A820" s="2"/>
      <c r="B820" s="3"/>
      <c r="C820" s="3"/>
      <c r="D820" s="15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3"/>
    </row>
    <row r="821" spans="1:15" x14ac:dyDescent="0.25">
      <c r="A821" s="2"/>
      <c r="B821" s="3"/>
      <c r="C821" s="3"/>
      <c r="D821" s="15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3"/>
    </row>
    <row r="822" spans="1:15" x14ac:dyDescent="0.25">
      <c r="A822" s="2"/>
      <c r="B822" s="3"/>
      <c r="C822" s="3"/>
      <c r="D822" s="15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3"/>
    </row>
    <row r="823" spans="1:15" x14ac:dyDescent="0.25">
      <c r="A823" s="2"/>
      <c r="B823" s="3"/>
      <c r="C823" s="3"/>
      <c r="D823" s="15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3"/>
    </row>
    <row r="824" spans="1:15" x14ac:dyDescent="0.25">
      <c r="A824" s="2"/>
      <c r="B824" s="3"/>
      <c r="C824" s="3"/>
      <c r="D824" s="15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3"/>
    </row>
    <row r="825" spans="1:15" x14ac:dyDescent="0.25">
      <c r="A825" s="2"/>
      <c r="B825" s="3"/>
      <c r="C825" s="3"/>
      <c r="D825" s="15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3"/>
    </row>
    <row r="826" spans="1:15" x14ac:dyDescent="0.25">
      <c r="A826" s="2"/>
      <c r="B826" s="3"/>
      <c r="C826" s="3"/>
      <c r="D826" s="15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3"/>
    </row>
    <row r="827" spans="1:15" x14ac:dyDescent="0.25">
      <c r="A827" s="2"/>
      <c r="B827" s="3"/>
      <c r="C827" s="3"/>
      <c r="D827" s="15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3"/>
    </row>
    <row r="828" spans="1:15" x14ac:dyDescent="0.25">
      <c r="A828" s="2"/>
      <c r="B828" s="3"/>
      <c r="C828" s="3"/>
      <c r="D828" s="15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3"/>
    </row>
    <row r="829" spans="1:15" x14ac:dyDescent="0.25">
      <c r="A829" s="2"/>
      <c r="B829" s="3"/>
      <c r="C829" s="3"/>
      <c r="D829" s="15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3"/>
    </row>
    <row r="830" spans="1:15" x14ac:dyDescent="0.25">
      <c r="A830" s="2"/>
      <c r="B830" s="3"/>
      <c r="C830" s="3"/>
      <c r="D830" s="15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3"/>
    </row>
    <row r="831" spans="1:15" x14ac:dyDescent="0.25">
      <c r="A831" s="2"/>
      <c r="B831" s="3"/>
      <c r="C831" s="3"/>
      <c r="D831" s="15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3"/>
    </row>
    <row r="832" spans="1:15" x14ac:dyDescent="0.25">
      <c r="A832" s="2"/>
      <c r="B832" s="3"/>
      <c r="C832" s="3"/>
      <c r="D832" s="15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3"/>
    </row>
    <row r="833" spans="1:15" x14ac:dyDescent="0.25">
      <c r="A833" s="2"/>
      <c r="B833" s="3"/>
      <c r="C833" s="3"/>
      <c r="D833" s="15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3"/>
    </row>
    <row r="834" spans="1:15" x14ac:dyDescent="0.25">
      <c r="A834" s="2"/>
      <c r="B834" s="3"/>
      <c r="C834" s="3"/>
      <c r="D834" s="15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3"/>
    </row>
    <row r="835" spans="1:15" x14ac:dyDescent="0.25">
      <c r="A835" s="2"/>
      <c r="B835" s="3"/>
      <c r="C835" s="3"/>
      <c r="D835" s="15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3"/>
    </row>
    <row r="836" spans="1:15" x14ac:dyDescent="0.25">
      <c r="A836" s="2"/>
      <c r="B836" s="3"/>
      <c r="C836" s="3"/>
      <c r="D836" s="15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3"/>
    </row>
    <row r="837" spans="1:15" x14ac:dyDescent="0.25">
      <c r="A837" s="2"/>
      <c r="B837" s="3"/>
      <c r="C837" s="3"/>
      <c r="D837" s="15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3"/>
    </row>
    <row r="838" spans="1:15" x14ac:dyDescent="0.25">
      <c r="A838" s="2"/>
      <c r="B838" s="3"/>
      <c r="C838" s="3"/>
      <c r="D838" s="15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3"/>
    </row>
    <row r="839" spans="1:15" x14ac:dyDescent="0.25">
      <c r="A839" s="2"/>
      <c r="B839" s="3"/>
      <c r="C839" s="3"/>
      <c r="D839" s="15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3"/>
    </row>
    <row r="840" spans="1:15" x14ac:dyDescent="0.25">
      <c r="A840" s="2"/>
      <c r="B840" s="3"/>
      <c r="C840" s="3"/>
      <c r="D840" s="15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3"/>
    </row>
    <row r="841" spans="1:15" x14ac:dyDescent="0.25">
      <c r="A841" s="2"/>
      <c r="B841" s="3"/>
      <c r="C841" s="3"/>
      <c r="D841" s="15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3"/>
    </row>
    <row r="842" spans="1:15" x14ac:dyDescent="0.25">
      <c r="A842" s="2"/>
      <c r="B842" s="3"/>
      <c r="C842" s="3"/>
      <c r="D842" s="15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3"/>
    </row>
    <row r="843" spans="1:15" x14ac:dyDescent="0.25">
      <c r="A843" s="2"/>
      <c r="B843" s="3"/>
      <c r="C843" s="3"/>
      <c r="D843" s="15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3"/>
    </row>
    <row r="844" spans="1:15" x14ac:dyDescent="0.25">
      <c r="A844" s="2"/>
      <c r="B844" s="3"/>
      <c r="C844" s="3"/>
      <c r="D844" s="15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3"/>
    </row>
    <row r="845" spans="1:15" x14ac:dyDescent="0.25">
      <c r="A845" s="2"/>
      <c r="B845" s="3"/>
      <c r="C845" s="3"/>
      <c r="D845" s="15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3"/>
    </row>
    <row r="846" spans="1:15" x14ac:dyDescent="0.25">
      <c r="A846" s="2"/>
      <c r="B846" s="3"/>
      <c r="C846" s="3"/>
      <c r="D846" s="15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3"/>
    </row>
    <row r="847" spans="1:15" x14ac:dyDescent="0.25">
      <c r="A847" s="2"/>
      <c r="B847" s="3"/>
      <c r="C847" s="3"/>
      <c r="D847" s="15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3"/>
    </row>
    <row r="848" spans="1:15" x14ac:dyDescent="0.25">
      <c r="A848" s="2"/>
      <c r="B848" s="3"/>
      <c r="C848" s="3"/>
      <c r="D848" s="15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3"/>
    </row>
    <row r="849" spans="1:15" x14ac:dyDescent="0.25">
      <c r="A849" s="2"/>
      <c r="B849" s="3"/>
      <c r="C849" s="3"/>
      <c r="D849" s="15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3"/>
    </row>
    <row r="850" spans="1:15" x14ac:dyDescent="0.25">
      <c r="A850" s="2"/>
      <c r="B850" s="3"/>
      <c r="C850" s="3"/>
      <c r="D850" s="15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3"/>
    </row>
    <row r="851" spans="1:15" x14ac:dyDescent="0.25">
      <c r="A851" s="2"/>
      <c r="B851" s="3"/>
      <c r="C851" s="3"/>
      <c r="D851" s="15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3"/>
    </row>
    <row r="852" spans="1:15" x14ac:dyDescent="0.25">
      <c r="A852" s="2"/>
      <c r="B852" s="3"/>
      <c r="C852" s="3"/>
      <c r="D852" s="15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3"/>
    </row>
    <row r="853" spans="1:15" x14ac:dyDescent="0.25">
      <c r="A853" s="2"/>
      <c r="B853" s="3"/>
      <c r="C853" s="3"/>
      <c r="D853" s="15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3"/>
    </row>
    <row r="854" spans="1:15" x14ac:dyDescent="0.25">
      <c r="A854" s="2"/>
      <c r="B854" s="3"/>
      <c r="C854" s="3"/>
      <c r="D854" s="15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3"/>
    </row>
    <row r="855" spans="1:15" x14ac:dyDescent="0.25">
      <c r="A855" s="2"/>
      <c r="B855" s="3"/>
      <c r="C855" s="3"/>
      <c r="D855" s="15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3"/>
    </row>
    <row r="856" spans="1:15" x14ac:dyDescent="0.25">
      <c r="A856" s="2"/>
      <c r="B856" s="3"/>
      <c r="C856" s="3"/>
      <c r="D856" s="15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3"/>
    </row>
    <row r="857" spans="1:15" x14ac:dyDescent="0.25">
      <c r="A857" s="2"/>
      <c r="B857" s="3"/>
      <c r="C857" s="3"/>
      <c r="D857" s="15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3"/>
    </row>
    <row r="858" spans="1:15" x14ac:dyDescent="0.25">
      <c r="A858" s="2"/>
      <c r="B858" s="3"/>
      <c r="C858" s="3"/>
      <c r="D858" s="15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3"/>
    </row>
    <row r="859" spans="1:15" x14ac:dyDescent="0.25">
      <c r="A859" s="2"/>
      <c r="B859" s="3"/>
      <c r="C859" s="3"/>
      <c r="D859" s="15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3"/>
    </row>
    <row r="860" spans="1:15" x14ac:dyDescent="0.25">
      <c r="A860" s="2"/>
      <c r="B860" s="3"/>
      <c r="C860" s="3"/>
      <c r="D860" s="15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3"/>
    </row>
    <row r="861" spans="1:15" x14ac:dyDescent="0.25">
      <c r="A861" s="2"/>
      <c r="B861" s="3"/>
      <c r="C861" s="3"/>
      <c r="D861" s="15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3"/>
    </row>
    <row r="862" spans="1:15" x14ac:dyDescent="0.25">
      <c r="A862" s="2"/>
      <c r="B862" s="3"/>
      <c r="C862" s="3"/>
      <c r="D862" s="15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3"/>
    </row>
    <row r="863" spans="1:15" x14ac:dyDescent="0.25">
      <c r="A863" s="2"/>
      <c r="B863" s="3"/>
      <c r="C863" s="3"/>
      <c r="D863" s="15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3"/>
    </row>
    <row r="864" spans="1:15" x14ac:dyDescent="0.25">
      <c r="A864" s="2"/>
      <c r="B864" s="3"/>
      <c r="C864" s="3"/>
      <c r="D864" s="15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3"/>
    </row>
    <row r="865" spans="1:15" x14ac:dyDescent="0.25">
      <c r="A865" s="2"/>
      <c r="B865" s="3"/>
      <c r="C865" s="3"/>
      <c r="D865" s="15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3"/>
    </row>
    <row r="866" spans="1:15" x14ac:dyDescent="0.25">
      <c r="A866" s="2"/>
      <c r="B866" s="3"/>
      <c r="C866" s="3"/>
      <c r="D866" s="15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3"/>
    </row>
    <row r="867" spans="1:15" x14ac:dyDescent="0.25">
      <c r="A867" s="2"/>
      <c r="B867" s="3"/>
      <c r="C867" s="3"/>
      <c r="D867" s="15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3"/>
    </row>
    <row r="868" spans="1:15" x14ac:dyDescent="0.25">
      <c r="A868" s="2"/>
      <c r="B868" s="3"/>
      <c r="C868" s="3"/>
      <c r="D868" s="15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3"/>
    </row>
    <row r="869" spans="1:15" x14ac:dyDescent="0.25">
      <c r="A869" s="2"/>
      <c r="B869" s="3"/>
      <c r="C869" s="3"/>
      <c r="D869" s="15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3"/>
    </row>
    <row r="870" spans="1:15" x14ac:dyDescent="0.25">
      <c r="A870" s="2"/>
      <c r="B870" s="3"/>
      <c r="C870" s="3"/>
      <c r="D870" s="15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3"/>
    </row>
    <row r="871" spans="1:15" x14ac:dyDescent="0.25">
      <c r="A871" s="2"/>
      <c r="B871" s="3"/>
      <c r="C871" s="3"/>
      <c r="D871" s="15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3"/>
    </row>
    <row r="872" spans="1:15" x14ac:dyDescent="0.25">
      <c r="A872" s="2"/>
      <c r="B872" s="3"/>
      <c r="C872" s="3"/>
      <c r="D872" s="15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3"/>
    </row>
    <row r="873" spans="1:15" x14ac:dyDescent="0.25">
      <c r="A873" s="2"/>
      <c r="B873" s="3"/>
      <c r="C873" s="3"/>
      <c r="D873" s="15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3"/>
    </row>
    <row r="874" spans="1:15" x14ac:dyDescent="0.25">
      <c r="A874" s="2"/>
      <c r="B874" s="3"/>
      <c r="C874" s="3"/>
      <c r="D874" s="15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3"/>
    </row>
    <row r="875" spans="1:15" x14ac:dyDescent="0.25">
      <c r="A875" s="2"/>
      <c r="B875" s="3"/>
      <c r="C875" s="3"/>
      <c r="D875" s="15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3"/>
    </row>
    <row r="876" spans="1:15" x14ac:dyDescent="0.25">
      <c r="A876" s="2"/>
      <c r="B876" s="3"/>
      <c r="C876" s="3"/>
      <c r="D876" s="15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3"/>
    </row>
    <row r="877" spans="1:15" x14ac:dyDescent="0.25">
      <c r="A877" s="2"/>
      <c r="B877" s="3"/>
      <c r="C877" s="3"/>
      <c r="D877" s="15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3"/>
    </row>
    <row r="878" spans="1:15" x14ac:dyDescent="0.25">
      <c r="A878" s="2"/>
      <c r="B878" s="3"/>
      <c r="C878" s="3"/>
      <c r="D878" s="15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3"/>
    </row>
    <row r="879" spans="1:15" x14ac:dyDescent="0.25">
      <c r="A879" s="2"/>
      <c r="B879" s="3"/>
      <c r="C879" s="3"/>
      <c r="D879" s="15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3"/>
    </row>
    <row r="880" spans="1:15" x14ac:dyDescent="0.25">
      <c r="A880" s="2"/>
      <c r="B880" s="3"/>
      <c r="C880" s="3"/>
      <c r="D880" s="15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3"/>
    </row>
    <row r="881" spans="1:15" x14ac:dyDescent="0.25">
      <c r="A881" s="2"/>
      <c r="B881" s="3"/>
      <c r="C881" s="3"/>
      <c r="D881" s="15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3"/>
    </row>
    <row r="882" spans="1:15" x14ac:dyDescent="0.25">
      <c r="A882" s="2"/>
      <c r="B882" s="3"/>
      <c r="C882" s="3"/>
      <c r="D882" s="15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3"/>
    </row>
    <row r="883" spans="1:15" x14ac:dyDescent="0.25">
      <c r="A883" s="2"/>
      <c r="B883" s="3"/>
      <c r="C883" s="3"/>
      <c r="D883" s="15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3"/>
    </row>
    <row r="884" spans="1:15" x14ac:dyDescent="0.25">
      <c r="A884" s="2"/>
      <c r="B884" s="3"/>
      <c r="C884" s="3"/>
      <c r="D884" s="15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3"/>
    </row>
    <row r="885" spans="1:15" x14ac:dyDescent="0.25">
      <c r="A885" s="2"/>
      <c r="B885" s="3"/>
      <c r="C885" s="3"/>
      <c r="D885" s="15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3"/>
    </row>
    <row r="886" spans="1:15" x14ac:dyDescent="0.25">
      <c r="A886" s="2"/>
      <c r="B886" s="3"/>
      <c r="C886" s="3"/>
      <c r="D886" s="15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3"/>
    </row>
    <row r="887" spans="1:15" x14ac:dyDescent="0.25">
      <c r="A887" s="2"/>
      <c r="B887" s="3"/>
      <c r="C887" s="3"/>
      <c r="D887" s="15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3"/>
    </row>
    <row r="888" spans="1:15" x14ac:dyDescent="0.25">
      <c r="A888" s="2"/>
      <c r="B888" s="3"/>
      <c r="C888" s="3"/>
      <c r="D888" s="15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3"/>
    </row>
    <row r="889" spans="1:15" x14ac:dyDescent="0.25">
      <c r="A889" s="2"/>
      <c r="B889" s="3"/>
      <c r="C889" s="3"/>
      <c r="D889" s="15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3"/>
    </row>
    <row r="890" spans="1:15" x14ac:dyDescent="0.25">
      <c r="A890" s="2"/>
      <c r="B890" s="3"/>
      <c r="C890" s="3"/>
      <c r="D890" s="15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3"/>
    </row>
    <row r="891" spans="1:15" x14ac:dyDescent="0.25">
      <c r="A891" s="2"/>
      <c r="B891" s="3"/>
      <c r="C891" s="3"/>
      <c r="D891" s="15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3"/>
    </row>
    <row r="892" spans="1:15" x14ac:dyDescent="0.25">
      <c r="A892" s="2"/>
      <c r="B892" s="3"/>
      <c r="C892" s="3"/>
      <c r="D892" s="15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3"/>
    </row>
    <row r="893" spans="1:15" x14ac:dyDescent="0.25">
      <c r="A893" s="2"/>
      <c r="B893" s="3"/>
      <c r="C893" s="3"/>
      <c r="D893" s="15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3"/>
    </row>
    <row r="894" spans="1:15" x14ac:dyDescent="0.25">
      <c r="A894" s="2"/>
      <c r="B894" s="3"/>
      <c r="C894" s="3"/>
      <c r="D894" s="15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3"/>
    </row>
    <row r="895" spans="1:15" x14ac:dyDescent="0.25">
      <c r="A895" s="2"/>
      <c r="B895" s="3"/>
      <c r="C895" s="3"/>
      <c r="D895" s="15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3"/>
    </row>
    <row r="896" spans="1:15" x14ac:dyDescent="0.25">
      <c r="A896" s="2"/>
      <c r="B896" s="3"/>
      <c r="C896" s="3"/>
      <c r="D896" s="15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3"/>
    </row>
    <row r="897" spans="1:15" x14ac:dyDescent="0.25">
      <c r="A897" s="2"/>
      <c r="B897" s="3"/>
      <c r="C897" s="3"/>
      <c r="D897" s="15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3"/>
    </row>
    <row r="898" spans="1:15" x14ac:dyDescent="0.25">
      <c r="A898" s="2"/>
      <c r="B898" s="3"/>
      <c r="C898" s="3"/>
      <c r="D898" s="15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3"/>
    </row>
    <row r="899" spans="1:15" x14ac:dyDescent="0.25">
      <c r="A899" s="2"/>
      <c r="B899" s="3"/>
      <c r="C899" s="3"/>
      <c r="D899" s="15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3"/>
    </row>
    <row r="900" spans="1:15" x14ac:dyDescent="0.25">
      <c r="A900" s="2"/>
      <c r="B900" s="3"/>
      <c r="C900" s="3"/>
      <c r="D900" s="15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3"/>
    </row>
    <row r="901" spans="1:15" x14ac:dyDescent="0.25">
      <c r="A901" s="2"/>
      <c r="B901" s="3"/>
      <c r="C901" s="3"/>
      <c r="D901" s="15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3"/>
    </row>
    <row r="902" spans="1:15" x14ac:dyDescent="0.25">
      <c r="A902" s="2"/>
      <c r="B902" s="3"/>
      <c r="C902" s="3"/>
      <c r="D902" s="15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3"/>
    </row>
    <row r="903" spans="1:15" x14ac:dyDescent="0.25">
      <c r="A903" s="2"/>
      <c r="B903" s="3"/>
      <c r="C903" s="3"/>
      <c r="D903" s="15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3"/>
    </row>
    <row r="904" spans="1:15" x14ac:dyDescent="0.25">
      <c r="A904" s="2"/>
      <c r="B904" s="3"/>
      <c r="C904" s="3"/>
      <c r="D904" s="15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3"/>
    </row>
    <row r="905" spans="1:15" x14ac:dyDescent="0.25">
      <c r="A905" s="2"/>
      <c r="B905" s="3"/>
      <c r="C905" s="3"/>
      <c r="D905" s="15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3"/>
    </row>
    <row r="906" spans="1:15" x14ac:dyDescent="0.25">
      <c r="A906" s="2"/>
      <c r="B906" s="3"/>
      <c r="C906" s="3"/>
      <c r="D906" s="15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3"/>
    </row>
    <row r="907" spans="1:15" x14ac:dyDescent="0.25">
      <c r="A907" s="2"/>
      <c r="B907" s="3"/>
      <c r="C907" s="3"/>
      <c r="D907" s="15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3"/>
    </row>
    <row r="908" spans="1:15" x14ac:dyDescent="0.25">
      <c r="A908" s="2"/>
      <c r="B908" s="3"/>
      <c r="C908" s="3"/>
      <c r="D908" s="15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3"/>
    </row>
    <row r="909" spans="1:15" x14ac:dyDescent="0.25">
      <c r="A909" s="2"/>
      <c r="B909" s="3"/>
      <c r="C909" s="3"/>
      <c r="D909" s="15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3"/>
    </row>
    <row r="910" spans="1:15" x14ac:dyDescent="0.25">
      <c r="A910" s="2"/>
      <c r="B910" s="3"/>
      <c r="C910" s="3"/>
      <c r="D910" s="15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3"/>
    </row>
    <row r="911" spans="1:15" x14ac:dyDescent="0.25">
      <c r="A911" s="2"/>
      <c r="B911" s="3"/>
      <c r="C911" s="3"/>
      <c r="D911" s="15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3"/>
    </row>
    <row r="912" spans="1:15" x14ac:dyDescent="0.25">
      <c r="A912" s="2"/>
      <c r="B912" s="3"/>
      <c r="C912" s="3"/>
      <c r="D912" s="15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3"/>
    </row>
    <row r="913" spans="1:15" x14ac:dyDescent="0.25">
      <c r="A913" s="2"/>
      <c r="B913" s="3"/>
      <c r="C913" s="3"/>
      <c r="D913" s="15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3"/>
    </row>
    <row r="914" spans="1:15" x14ac:dyDescent="0.25">
      <c r="A914" s="2"/>
      <c r="B914" s="3"/>
      <c r="C914" s="3"/>
      <c r="D914" s="15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3"/>
    </row>
    <row r="915" spans="1:15" x14ac:dyDescent="0.25">
      <c r="A915" s="2"/>
      <c r="B915" s="3"/>
      <c r="C915" s="3"/>
      <c r="D915" s="15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3"/>
    </row>
    <row r="916" spans="1:15" x14ac:dyDescent="0.25">
      <c r="A916" s="2"/>
      <c r="B916" s="3"/>
      <c r="C916" s="3"/>
      <c r="D916" s="15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3"/>
    </row>
    <row r="917" spans="1:15" x14ac:dyDescent="0.25">
      <c r="A917" s="2"/>
      <c r="B917" s="3"/>
      <c r="C917" s="3"/>
      <c r="D917" s="15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3"/>
    </row>
    <row r="918" spans="1:15" x14ac:dyDescent="0.25">
      <c r="A918" s="2"/>
      <c r="B918" s="3"/>
      <c r="C918" s="3"/>
      <c r="D918" s="15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3"/>
    </row>
    <row r="919" spans="1:15" x14ac:dyDescent="0.25">
      <c r="A919" s="2"/>
      <c r="B919" s="3"/>
      <c r="C919" s="3"/>
      <c r="D919" s="15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3"/>
    </row>
    <row r="920" spans="1:15" x14ac:dyDescent="0.25">
      <c r="A920" s="2"/>
      <c r="B920" s="3"/>
      <c r="C920" s="3"/>
      <c r="D920" s="15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3"/>
    </row>
    <row r="921" spans="1:15" x14ac:dyDescent="0.25">
      <c r="A921" s="2"/>
      <c r="B921" s="3"/>
      <c r="C921" s="3"/>
      <c r="D921" s="15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3"/>
    </row>
    <row r="922" spans="1:15" x14ac:dyDescent="0.25">
      <c r="A922" s="2"/>
      <c r="B922" s="3"/>
      <c r="C922" s="3"/>
      <c r="D922" s="15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3"/>
    </row>
    <row r="923" spans="1:15" x14ac:dyDescent="0.25">
      <c r="A923" s="2"/>
      <c r="B923" s="3"/>
      <c r="C923" s="3"/>
      <c r="D923" s="15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3"/>
    </row>
    <row r="924" spans="1:15" x14ac:dyDescent="0.25">
      <c r="A924" s="2"/>
      <c r="B924" s="3"/>
      <c r="C924" s="3"/>
      <c r="D924" s="15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3"/>
    </row>
    <row r="925" spans="1:15" x14ac:dyDescent="0.25">
      <c r="A925" s="2"/>
      <c r="B925" s="3"/>
      <c r="C925" s="3"/>
      <c r="D925" s="15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3"/>
    </row>
    <row r="926" spans="1:15" x14ac:dyDescent="0.25">
      <c r="A926" s="2"/>
      <c r="B926" s="3"/>
      <c r="C926" s="3"/>
      <c r="D926" s="15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3"/>
    </row>
    <row r="927" spans="1:15" x14ac:dyDescent="0.25">
      <c r="A927" s="2"/>
      <c r="B927" s="3"/>
      <c r="C927" s="3"/>
      <c r="D927" s="15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3"/>
    </row>
    <row r="928" spans="1:15" x14ac:dyDescent="0.25">
      <c r="A928" s="2"/>
      <c r="B928" s="3"/>
      <c r="C928" s="3"/>
      <c r="D928" s="15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3"/>
    </row>
    <row r="929" spans="1:15" x14ac:dyDescent="0.25">
      <c r="A929" s="2"/>
      <c r="B929" s="3"/>
      <c r="C929" s="3"/>
      <c r="D929" s="15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3"/>
    </row>
    <row r="930" spans="1:15" x14ac:dyDescent="0.25">
      <c r="A930" s="2"/>
      <c r="B930" s="3"/>
      <c r="C930" s="3"/>
      <c r="D930" s="15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3"/>
    </row>
    <row r="931" spans="1:15" x14ac:dyDescent="0.25">
      <c r="A931" s="2"/>
      <c r="B931" s="3"/>
      <c r="C931" s="3"/>
      <c r="D931" s="15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3"/>
    </row>
    <row r="932" spans="1:15" x14ac:dyDescent="0.25">
      <c r="A932" s="2"/>
      <c r="B932" s="3"/>
      <c r="C932" s="3"/>
      <c r="D932" s="15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3"/>
    </row>
    <row r="933" spans="1:15" x14ac:dyDescent="0.25">
      <c r="A933" s="2"/>
      <c r="B933" s="3"/>
      <c r="C933" s="3"/>
      <c r="D933" s="15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3"/>
    </row>
    <row r="934" spans="1:15" x14ac:dyDescent="0.25">
      <c r="A934" s="2"/>
      <c r="B934" s="3"/>
      <c r="C934" s="3"/>
      <c r="D934" s="15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3"/>
    </row>
    <row r="935" spans="1:15" x14ac:dyDescent="0.25">
      <c r="A935" s="2"/>
      <c r="B935" s="3"/>
      <c r="C935" s="3"/>
      <c r="D935" s="15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3"/>
    </row>
    <row r="936" spans="1:15" x14ac:dyDescent="0.25">
      <c r="A936" s="2"/>
      <c r="B936" s="3"/>
      <c r="C936" s="3"/>
      <c r="D936" s="15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3"/>
    </row>
    <row r="937" spans="1:15" x14ac:dyDescent="0.25">
      <c r="A937" s="2"/>
      <c r="B937" s="3"/>
      <c r="C937" s="3"/>
      <c r="D937" s="15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3"/>
    </row>
    <row r="938" spans="1:15" x14ac:dyDescent="0.25">
      <c r="A938" s="2"/>
      <c r="B938" s="3"/>
      <c r="C938" s="3"/>
      <c r="D938" s="15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3"/>
    </row>
    <row r="939" spans="1:15" x14ac:dyDescent="0.25">
      <c r="A939" s="2"/>
      <c r="B939" s="3"/>
      <c r="C939" s="3"/>
      <c r="D939" s="15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3"/>
    </row>
    <row r="940" spans="1:15" x14ac:dyDescent="0.25">
      <c r="A940" s="2"/>
      <c r="B940" s="3"/>
      <c r="C940" s="3"/>
      <c r="D940" s="15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3"/>
    </row>
    <row r="941" spans="1:15" x14ac:dyDescent="0.25">
      <c r="A941" s="2"/>
      <c r="B941" s="3"/>
      <c r="C941" s="3"/>
      <c r="D941" s="15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3"/>
    </row>
    <row r="942" spans="1:15" x14ac:dyDescent="0.25">
      <c r="A942" s="2"/>
      <c r="B942" s="3"/>
      <c r="C942" s="3"/>
      <c r="D942" s="15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3"/>
    </row>
    <row r="943" spans="1:15" x14ac:dyDescent="0.25">
      <c r="A943" s="2"/>
      <c r="B943" s="3"/>
      <c r="C943" s="3"/>
      <c r="D943" s="15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3"/>
    </row>
    <row r="944" spans="1:15" x14ac:dyDescent="0.25">
      <c r="A944" s="2"/>
      <c r="B944" s="3"/>
      <c r="C944" s="3"/>
      <c r="D944" s="15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3"/>
    </row>
    <row r="945" spans="1:15" x14ac:dyDescent="0.25">
      <c r="A945" s="2"/>
      <c r="B945" s="3"/>
      <c r="C945" s="3"/>
      <c r="D945" s="15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3"/>
    </row>
    <row r="946" spans="1:15" x14ac:dyDescent="0.25">
      <c r="A946" s="2"/>
      <c r="B946" s="3"/>
      <c r="C946" s="3"/>
      <c r="D946" s="15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3"/>
    </row>
    <row r="947" spans="1:15" x14ac:dyDescent="0.25">
      <c r="A947" s="2"/>
      <c r="B947" s="3"/>
      <c r="C947" s="3"/>
      <c r="D947" s="15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3"/>
    </row>
    <row r="948" spans="1:15" x14ac:dyDescent="0.25">
      <c r="A948" s="2"/>
      <c r="B948" s="3"/>
      <c r="C948" s="3"/>
      <c r="D948" s="15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3"/>
    </row>
    <row r="949" spans="1:15" x14ac:dyDescent="0.25">
      <c r="A949" s="2"/>
      <c r="B949" s="3"/>
      <c r="C949" s="3"/>
      <c r="D949" s="15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3"/>
    </row>
    <row r="950" spans="1:15" x14ac:dyDescent="0.25">
      <c r="A950" s="2"/>
      <c r="B950" s="3"/>
      <c r="C950" s="3"/>
      <c r="D950" s="15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3"/>
    </row>
    <row r="951" spans="1:15" x14ac:dyDescent="0.25">
      <c r="A951" s="2"/>
      <c r="B951" s="3"/>
      <c r="C951" s="3"/>
      <c r="D951" s="15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3"/>
    </row>
    <row r="952" spans="1:15" x14ac:dyDescent="0.25">
      <c r="A952" s="2"/>
      <c r="B952" s="3"/>
      <c r="C952" s="3"/>
      <c r="D952" s="15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3"/>
    </row>
    <row r="953" spans="1:15" x14ac:dyDescent="0.25">
      <c r="A953" s="2"/>
      <c r="B953" s="3"/>
      <c r="C953" s="3"/>
      <c r="D953" s="15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3"/>
    </row>
    <row r="954" spans="1:15" x14ac:dyDescent="0.25">
      <c r="A954" s="2"/>
      <c r="B954" s="3"/>
      <c r="C954" s="3"/>
      <c r="D954" s="15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3"/>
    </row>
    <row r="955" spans="1:15" x14ac:dyDescent="0.25">
      <c r="A955" s="2"/>
      <c r="B955" s="3"/>
      <c r="C955" s="3"/>
      <c r="D955" s="15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3"/>
    </row>
    <row r="956" spans="1:15" x14ac:dyDescent="0.25">
      <c r="A956" s="2"/>
      <c r="B956" s="3"/>
      <c r="C956" s="3"/>
      <c r="D956" s="15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3"/>
    </row>
    <row r="957" spans="1:15" x14ac:dyDescent="0.25">
      <c r="A957" s="2"/>
      <c r="B957" s="3"/>
      <c r="C957" s="3"/>
      <c r="D957" s="15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3"/>
    </row>
    <row r="958" spans="1:15" x14ac:dyDescent="0.25">
      <c r="A958" s="2"/>
      <c r="B958" s="3"/>
      <c r="C958" s="3"/>
      <c r="D958" s="15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3"/>
    </row>
    <row r="959" spans="1:15" x14ac:dyDescent="0.25">
      <c r="A959" s="2"/>
      <c r="B959" s="3"/>
      <c r="C959" s="3"/>
      <c r="D959" s="15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3"/>
    </row>
    <row r="960" spans="1:15" x14ac:dyDescent="0.25">
      <c r="A960" s="2"/>
      <c r="B960" s="3"/>
      <c r="C960" s="3"/>
      <c r="D960" s="15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3"/>
    </row>
    <row r="961" spans="1:15" x14ac:dyDescent="0.25">
      <c r="A961" s="2"/>
      <c r="B961" s="3"/>
      <c r="C961" s="3"/>
      <c r="D961" s="15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3"/>
    </row>
    <row r="962" spans="1:15" x14ac:dyDescent="0.25">
      <c r="A962" s="2"/>
      <c r="B962" s="3"/>
      <c r="C962" s="3"/>
      <c r="D962" s="15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3"/>
    </row>
    <row r="963" spans="1:15" x14ac:dyDescent="0.25">
      <c r="A963" s="2"/>
      <c r="B963" s="3"/>
      <c r="C963" s="3"/>
      <c r="D963" s="15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3"/>
    </row>
    <row r="964" spans="1:15" x14ac:dyDescent="0.25">
      <c r="A964" s="2"/>
      <c r="B964" s="3"/>
      <c r="C964" s="3"/>
      <c r="D964" s="15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3"/>
    </row>
    <row r="965" spans="1:15" x14ac:dyDescent="0.25">
      <c r="A965" s="2"/>
      <c r="B965" s="3"/>
      <c r="C965" s="3"/>
      <c r="D965" s="15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3"/>
    </row>
    <row r="966" spans="1:15" x14ac:dyDescent="0.25">
      <c r="A966" s="2"/>
      <c r="B966" s="3"/>
      <c r="C966" s="3"/>
      <c r="D966" s="15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3"/>
    </row>
    <row r="967" spans="1:15" x14ac:dyDescent="0.25">
      <c r="A967" s="2"/>
      <c r="B967" s="3"/>
      <c r="C967" s="3"/>
      <c r="D967" s="15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3"/>
    </row>
    <row r="968" spans="1:15" x14ac:dyDescent="0.25">
      <c r="A968" s="2"/>
      <c r="B968" s="3"/>
      <c r="C968" s="3"/>
      <c r="D968" s="15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3"/>
    </row>
    <row r="969" spans="1:15" x14ac:dyDescent="0.25">
      <c r="A969" s="2"/>
      <c r="B969" s="3"/>
      <c r="C969" s="3"/>
      <c r="D969" s="15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3"/>
    </row>
    <row r="970" spans="1:15" x14ac:dyDescent="0.25">
      <c r="A970" s="2"/>
      <c r="B970" s="3"/>
      <c r="C970" s="3"/>
      <c r="D970" s="15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3"/>
    </row>
    <row r="971" spans="1:15" x14ac:dyDescent="0.25">
      <c r="A971" s="2"/>
      <c r="B971" s="3"/>
      <c r="C971" s="3"/>
      <c r="D971" s="15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3"/>
    </row>
    <row r="972" spans="1:15" x14ac:dyDescent="0.25">
      <c r="A972" s="2"/>
      <c r="B972" s="3"/>
      <c r="C972" s="3"/>
      <c r="D972" s="15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3"/>
    </row>
    <row r="973" spans="1:15" x14ac:dyDescent="0.25">
      <c r="A973" s="2"/>
      <c r="B973" s="3"/>
      <c r="C973" s="3"/>
      <c r="D973" s="15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3"/>
    </row>
    <row r="974" spans="1:15" x14ac:dyDescent="0.25">
      <c r="A974" s="2"/>
      <c r="B974" s="3"/>
      <c r="C974" s="3"/>
      <c r="D974" s="15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3"/>
    </row>
    <row r="975" spans="1:15" x14ac:dyDescent="0.25">
      <c r="A975" s="2"/>
      <c r="B975" s="3"/>
      <c r="C975" s="3"/>
      <c r="D975" s="15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3"/>
    </row>
    <row r="976" spans="1:15" x14ac:dyDescent="0.25">
      <c r="A976" s="2"/>
      <c r="B976" s="3"/>
      <c r="C976" s="3"/>
      <c r="D976" s="15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3"/>
    </row>
    <row r="977" spans="1:15" x14ac:dyDescent="0.25">
      <c r="A977" s="2"/>
      <c r="B977" s="3"/>
      <c r="C977" s="3"/>
      <c r="D977" s="15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3"/>
    </row>
    <row r="978" spans="1:15" x14ac:dyDescent="0.25">
      <c r="A978" s="2"/>
      <c r="B978" s="3"/>
      <c r="C978" s="3"/>
      <c r="D978" s="15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3"/>
    </row>
    <row r="979" spans="1:15" x14ac:dyDescent="0.25">
      <c r="A979" s="2"/>
      <c r="B979" s="3"/>
      <c r="C979" s="3"/>
      <c r="D979" s="15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3"/>
    </row>
    <row r="980" spans="1:15" x14ac:dyDescent="0.25">
      <c r="A980" s="2"/>
      <c r="B980" s="3"/>
      <c r="C980" s="3"/>
      <c r="D980" s="15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3"/>
    </row>
    <row r="981" spans="1:15" x14ac:dyDescent="0.25">
      <c r="A981" s="2"/>
      <c r="B981" s="3"/>
      <c r="C981" s="3"/>
      <c r="D981" s="15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3"/>
    </row>
    <row r="982" spans="1:15" x14ac:dyDescent="0.25">
      <c r="A982" s="2"/>
      <c r="B982" s="3"/>
      <c r="C982" s="3"/>
      <c r="D982" s="15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3"/>
    </row>
    <row r="983" spans="1:15" x14ac:dyDescent="0.25">
      <c r="A983" s="2"/>
      <c r="B983" s="3"/>
      <c r="C983" s="3"/>
      <c r="D983" s="15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3"/>
    </row>
    <row r="984" spans="1:15" x14ac:dyDescent="0.25">
      <c r="A984" s="2"/>
      <c r="B984" s="3"/>
      <c r="C984" s="3"/>
      <c r="D984" s="15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3"/>
    </row>
    <row r="985" spans="1:15" x14ac:dyDescent="0.25">
      <c r="A985" s="2"/>
      <c r="B985" s="3"/>
      <c r="C985" s="3"/>
      <c r="D985" s="15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3"/>
    </row>
    <row r="986" spans="1:15" x14ac:dyDescent="0.25">
      <c r="A986" s="2"/>
      <c r="B986" s="3"/>
      <c r="C986" s="3"/>
      <c r="D986" s="15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3"/>
    </row>
    <row r="987" spans="1:15" x14ac:dyDescent="0.25">
      <c r="A987" s="2"/>
      <c r="B987" s="3"/>
      <c r="C987" s="3"/>
      <c r="D987" s="15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3"/>
    </row>
    <row r="988" spans="1:15" x14ac:dyDescent="0.25">
      <c r="A988" s="2"/>
      <c r="B988" s="3"/>
      <c r="C988" s="3"/>
      <c r="D988" s="15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3"/>
    </row>
    <row r="989" spans="1:15" x14ac:dyDescent="0.25">
      <c r="A989" s="2"/>
      <c r="B989" s="3"/>
      <c r="C989" s="3"/>
      <c r="D989" s="15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3"/>
    </row>
    <row r="990" spans="1:15" x14ac:dyDescent="0.25">
      <c r="A990" s="2"/>
      <c r="B990" s="3"/>
      <c r="C990" s="3"/>
      <c r="D990" s="15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3"/>
    </row>
    <row r="991" spans="1:15" x14ac:dyDescent="0.25">
      <c r="A991" s="2"/>
      <c r="B991" s="3"/>
      <c r="C991" s="3"/>
      <c r="D991" s="15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3"/>
    </row>
    <row r="992" spans="1:15" x14ac:dyDescent="0.25">
      <c r="A992" s="2"/>
      <c r="B992" s="3"/>
      <c r="C992" s="3"/>
      <c r="D992" s="15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3"/>
    </row>
    <row r="993" spans="1:15" x14ac:dyDescent="0.25">
      <c r="A993" s="2"/>
      <c r="B993" s="3"/>
      <c r="C993" s="3"/>
      <c r="D993" s="15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3"/>
    </row>
    <row r="994" spans="1:15" x14ac:dyDescent="0.25">
      <c r="A994" s="2"/>
      <c r="B994" s="3"/>
      <c r="C994" s="3"/>
      <c r="D994" s="15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3"/>
    </row>
    <row r="995" spans="1:15" x14ac:dyDescent="0.25">
      <c r="A995" s="2"/>
      <c r="B995" s="3"/>
      <c r="C995" s="3"/>
      <c r="D995" s="15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3"/>
    </row>
    <row r="996" spans="1:15" x14ac:dyDescent="0.25">
      <c r="A996" s="2"/>
      <c r="B996" s="3"/>
      <c r="C996" s="3"/>
      <c r="D996" s="15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3"/>
    </row>
    <row r="997" spans="1:15" x14ac:dyDescent="0.25">
      <c r="A997" s="2"/>
      <c r="B997" s="3"/>
      <c r="C997" s="3"/>
      <c r="D997" s="15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3"/>
    </row>
    <row r="998" spans="1:15" x14ac:dyDescent="0.25">
      <c r="A998" s="2"/>
      <c r="B998" s="3"/>
      <c r="C998" s="3"/>
      <c r="D998" s="15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3"/>
    </row>
    <row r="999" spans="1:15" x14ac:dyDescent="0.25">
      <c r="A999" s="2"/>
      <c r="B999" s="3"/>
      <c r="C999" s="3"/>
      <c r="D999" s="15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3"/>
    </row>
    <row r="1000" spans="1:15" x14ac:dyDescent="0.25">
      <c r="A1000" s="2"/>
      <c r="B1000" s="3"/>
      <c r="C1000" s="3"/>
      <c r="D1000" s="15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3"/>
    </row>
    <row r="1001" spans="1:15" x14ac:dyDescent="0.25">
      <c r="A1001" s="2"/>
      <c r="B1001" s="3"/>
      <c r="C1001" s="3"/>
      <c r="D1001" s="15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3"/>
    </row>
    <row r="1002" spans="1:15" x14ac:dyDescent="0.25">
      <c r="A1002" s="2"/>
      <c r="B1002" s="3"/>
      <c r="C1002" s="3"/>
      <c r="D1002" s="15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3"/>
    </row>
    <row r="1003" spans="1:15" x14ac:dyDescent="0.25">
      <c r="A1003" s="2"/>
      <c r="B1003" s="3"/>
      <c r="C1003" s="3"/>
      <c r="D1003" s="15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3"/>
    </row>
    <row r="1004" spans="1:15" x14ac:dyDescent="0.25">
      <c r="A1004" s="2"/>
      <c r="B1004" s="3"/>
      <c r="C1004" s="3"/>
      <c r="D1004" s="15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3"/>
    </row>
    <row r="1005" spans="1:15" x14ac:dyDescent="0.25">
      <c r="A1005" s="2"/>
      <c r="B1005" s="3"/>
      <c r="C1005" s="3"/>
      <c r="D1005" s="15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3"/>
    </row>
    <row r="1006" spans="1:15" x14ac:dyDescent="0.25">
      <c r="A1006" s="2"/>
      <c r="B1006" s="3"/>
      <c r="C1006" s="3"/>
      <c r="D1006" s="15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3"/>
    </row>
    <row r="1007" spans="1:15" x14ac:dyDescent="0.25">
      <c r="A1007" s="2"/>
      <c r="B1007" s="3"/>
      <c r="C1007" s="3"/>
      <c r="D1007" s="15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3"/>
    </row>
    <row r="1008" spans="1:15" x14ac:dyDescent="0.25">
      <c r="A1008" s="2"/>
      <c r="B1008" s="3"/>
      <c r="C1008" s="3"/>
      <c r="D1008" s="15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3"/>
    </row>
    <row r="1009" spans="1:15" x14ac:dyDescent="0.25">
      <c r="A1009" s="2"/>
      <c r="B1009" s="3"/>
      <c r="C1009" s="3"/>
      <c r="D1009" s="15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3"/>
    </row>
    <row r="1010" spans="1:15" x14ac:dyDescent="0.25">
      <c r="A1010" s="2"/>
      <c r="B1010" s="3"/>
      <c r="C1010" s="3"/>
      <c r="D1010" s="15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3"/>
    </row>
    <row r="1011" spans="1:15" x14ac:dyDescent="0.25">
      <c r="A1011" s="2"/>
      <c r="B1011" s="3"/>
      <c r="C1011" s="3"/>
      <c r="D1011" s="15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3"/>
    </row>
    <row r="1012" spans="1:15" x14ac:dyDescent="0.25">
      <c r="A1012" s="2"/>
      <c r="B1012" s="3"/>
      <c r="C1012" s="3"/>
      <c r="D1012" s="15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3"/>
    </row>
    <row r="1013" spans="1:15" x14ac:dyDescent="0.25">
      <c r="A1013" s="2"/>
      <c r="B1013" s="3"/>
      <c r="C1013" s="3"/>
      <c r="D1013" s="15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3"/>
    </row>
    <row r="1014" spans="1:15" x14ac:dyDescent="0.25">
      <c r="A1014" s="2"/>
      <c r="B1014" s="3"/>
      <c r="C1014" s="3"/>
      <c r="D1014" s="15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3"/>
    </row>
    <row r="1015" spans="1:15" x14ac:dyDescent="0.25">
      <c r="A1015" s="2"/>
      <c r="B1015" s="3"/>
      <c r="C1015" s="3"/>
      <c r="D1015" s="15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3"/>
    </row>
    <row r="1016" spans="1:15" x14ac:dyDescent="0.25">
      <c r="A1016" s="2"/>
      <c r="B1016" s="3"/>
      <c r="C1016" s="3"/>
      <c r="D1016" s="15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3"/>
    </row>
    <row r="1017" spans="1:15" x14ac:dyDescent="0.25">
      <c r="A1017" s="2"/>
      <c r="B1017" s="3"/>
      <c r="C1017" s="3"/>
      <c r="D1017" s="15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3"/>
    </row>
    <row r="1018" spans="1:15" x14ac:dyDescent="0.25">
      <c r="A1018" s="2"/>
      <c r="B1018" s="3"/>
      <c r="C1018" s="3"/>
      <c r="D1018" s="15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3"/>
    </row>
    <row r="1019" spans="1:15" x14ac:dyDescent="0.25">
      <c r="A1019" s="2"/>
      <c r="B1019" s="3"/>
      <c r="C1019" s="3"/>
      <c r="D1019" s="15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3"/>
    </row>
    <row r="1020" spans="1:15" x14ac:dyDescent="0.25">
      <c r="A1020" s="2"/>
      <c r="B1020" s="3"/>
      <c r="C1020" s="3"/>
      <c r="D1020" s="15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3"/>
    </row>
    <row r="1021" spans="1:15" x14ac:dyDescent="0.25">
      <c r="A1021" s="2"/>
      <c r="B1021" s="3"/>
      <c r="C1021" s="3"/>
      <c r="D1021" s="15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3"/>
    </row>
    <row r="1022" spans="1:15" x14ac:dyDescent="0.25">
      <c r="A1022" s="2"/>
      <c r="B1022" s="3"/>
      <c r="C1022" s="3"/>
      <c r="D1022" s="15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3"/>
    </row>
    <row r="1023" spans="1:15" x14ac:dyDescent="0.25">
      <c r="A1023" s="2"/>
      <c r="B1023" s="3"/>
      <c r="C1023" s="3"/>
      <c r="D1023" s="15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3"/>
    </row>
    <row r="1024" spans="1:15" x14ac:dyDescent="0.25">
      <c r="A1024" s="2"/>
      <c r="B1024" s="3"/>
      <c r="C1024" s="3"/>
      <c r="D1024" s="15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3"/>
    </row>
    <row r="1025" spans="1:15" x14ac:dyDescent="0.25">
      <c r="A1025" s="2"/>
      <c r="B1025" s="3"/>
      <c r="C1025" s="3"/>
      <c r="D1025" s="15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3"/>
    </row>
    <row r="1026" spans="1:15" x14ac:dyDescent="0.25">
      <c r="A1026" s="2"/>
      <c r="B1026" s="3"/>
      <c r="C1026" s="3"/>
      <c r="D1026" s="15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3"/>
    </row>
    <row r="1027" spans="1:15" x14ac:dyDescent="0.25">
      <c r="A1027" s="2"/>
      <c r="B1027" s="3"/>
      <c r="C1027" s="3"/>
      <c r="D1027" s="15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3"/>
    </row>
    <row r="1028" spans="1:15" x14ac:dyDescent="0.25">
      <c r="A1028" s="2"/>
      <c r="B1028" s="3"/>
      <c r="C1028" s="3"/>
      <c r="D1028" s="15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3"/>
    </row>
    <row r="1029" spans="1:15" x14ac:dyDescent="0.25">
      <c r="A1029" s="2"/>
      <c r="B1029" s="3"/>
      <c r="C1029" s="3"/>
      <c r="D1029" s="15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3"/>
    </row>
    <row r="1030" spans="1:15" x14ac:dyDescent="0.25">
      <c r="A1030" s="2"/>
      <c r="B1030" s="3"/>
      <c r="C1030" s="3"/>
      <c r="D1030" s="15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3"/>
    </row>
    <row r="1031" spans="1:15" x14ac:dyDescent="0.25">
      <c r="A1031" s="2"/>
      <c r="B1031" s="3"/>
      <c r="C1031" s="3"/>
      <c r="D1031" s="15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3"/>
    </row>
    <row r="1032" spans="1:15" x14ac:dyDescent="0.25">
      <c r="A1032" s="2"/>
      <c r="B1032" s="3"/>
      <c r="C1032" s="3"/>
      <c r="D1032" s="15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3"/>
    </row>
    <row r="1033" spans="1:15" x14ac:dyDescent="0.25">
      <c r="A1033" s="2"/>
      <c r="B1033" s="3"/>
      <c r="C1033" s="3"/>
      <c r="D1033" s="15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3"/>
    </row>
    <row r="1034" spans="1:15" x14ac:dyDescent="0.25">
      <c r="A1034" s="2"/>
      <c r="B1034" s="3"/>
      <c r="C1034" s="3"/>
      <c r="D1034" s="15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3"/>
    </row>
    <row r="1035" spans="1:15" x14ac:dyDescent="0.25">
      <c r="A1035" s="2"/>
      <c r="B1035" s="3"/>
      <c r="C1035" s="3"/>
      <c r="D1035" s="15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3"/>
    </row>
    <row r="1036" spans="1:15" x14ac:dyDescent="0.25">
      <c r="A1036" s="2"/>
      <c r="B1036" s="3"/>
      <c r="C1036" s="3"/>
      <c r="D1036" s="15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3"/>
    </row>
    <row r="1037" spans="1:15" x14ac:dyDescent="0.25">
      <c r="A1037" s="2"/>
      <c r="B1037" s="3"/>
      <c r="C1037" s="3"/>
      <c r="D1037" s="15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3"/>
    </row>
    <row r="1038" spans="1:15" x14ac:dyDescent="0.25">
      <c r="A1038" s="2"/>
      <c r="B1038" s="3"/>
      <c r="C1038" s="3"/>
      <c r="D1038" s="15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3"/>
    </row>
    <row r="1039" spans="1:15" x14ac:dyDescent="0.25">
      <c r="A1039" s="2"/>
      <c r="B1039" s="3"/>
      <c r="C1039" s="3"/>
      <c r="D1039" s="15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3"/>
    </row>
    <row r="1040" spans="1:15" x14ac:dyDescent="0.25">
      <c r="A1040" s="2"/>
      <c r="B1040" s="3"/>
      <c r="C1040" s="3"/>
      <c r="D1040" s="15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3"/>
    </row>
    <row r="1041" spans="1:15" x14ac:dyDescent="0.25">
      <c r="A1041" s="2"/>
      <c r="B1041" s="3"/>
      <c r="C1041" s="3"/>
      <c r="D1041" s="15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3"/>
    </row>
    <row r="1042" spans="1:15" x14ac:dyDescent="0.25">
      <c r="A1042" s="2"/>
      <c r="B1042" s="3"/>
      <c r="C1042" s="3"/>
      <c r="D1042" s="15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3"/>
    </row>
    <row r="1043" spans="1:15" x14ac:dyDescent="0.25">
      <c r="A1043" s="2"/>
      <c r="B1043" s="3"/>
      <c r="C1043" s="3"/>
      <c r="D1043" s="15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3"/>
    </row>
    <row r="1044" spans="1:15" x14ac:dyDescent="0.25">
      <c r="A1044" s="2"/>
      <c r="B1044" s="3"/>
      <c r="C1044" s="3"/>
      <c r="D1044" s="15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3"/>
    </row>
    <row r="1045" spans="1:15" x14ac:dyDescent="0.25">
      <c r="A1045" s="2"/>
      <c r="B1045" s="3"/>
      <c r="C1045" s="3"/>
      <c r="D1045" s="15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3"/>
    </row>
    <row r="1046" spans="1:15" x14ac:dyDescent="0.25">
      <c r="A1046" s="2"/>
      <c r="B1046" s="3"/>
      <c r="C1046" s="3"/>
      <c r="D1046" s="15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3"/>
    </row>
    <row r="1047" spans="1:15" x14ac:dyDescent="0.25">
      <c r="A1047" s="2"/>
      <c r="B1047" s="3"/>
      <c r="C1047" s="3"/>
      <c r="D1047" s="15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3"/>
    </row>
    <row r="1048" spans="1:15" x14ac:dyDescent="0.25">
      <c r="A1048" s="2"/>
      <c r="B1048" s="3"/>
      <c r="C1048" s="3"/>
      <c r="D1048" s="15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3"/>
    </row>
    <row r="1049" spans="1:15" x14ac:dyDescent="0.25">
      <c r="A1049" s="2"/>
      <c r="B1049" s="3"/>
      <c r="C1049" s="3"/>
      <c r="D1049" s="15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3"/>
    </row>
    <row r="1050" spans="1:15" x14ac:dyDescent="0.25">
      <c r="A1050" s="2"/>
      <c r="B1050" s="3"/>
      <c r="C1050" s="3"/>
      <c r="D1050" s="15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3"/>
    </row>
    <row r="1051" spans="1:15" x14ac:dyDescent="0.25">
      <c r="A1051" s="2"/>
      <c r="B1051" s="3"/>
      <c r="C1051" s="3"/>
      <c r="D1051" s="15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3"/>
    </row>
    <row r="1052" spans="1:15" x14ac:dyDescent="0.25">
      <c r="A1052" s="2"/>
      <c r="B1052" s="3"/>
      <c r="C1052" s="3"/>
      <c r="D1052" s="15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3"/>
    </row>
    <row r="1053" spans="1:15" x14ac:dyDescent="0.25">
      <c r="A1053" s="2"/>
      <c r="B1053" s="3"/>
      <c r="C1053" s="3"/>
      <c r="D1053" s="15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3"/>
    </row>
    <row r="1054" spans="1:15" x14ac:dyDescent="0.25">
      <c r="A1054" s="2"/>
      <c r="B1054" s="3"/>
      <c r="C1054" s="3"/>
      <c r="D1054" s="15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3"/>
    </row>
    <row r="1055" spans="1:15" x14ac:dyDescent="0.25">
      <c r="A1055" s="2"/>
      <c r="B1055" s="3"/>
      <c r="C1055" s="3"/>
      <c r="D1055" s="15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3"/>
    </row>
    <row r="1056" spans="1:15" x14ac:dyDescent="0.25">
      <c r="A1056" s="2"/>
      <c r="B1056" s="3"/>
      <c r="C1056" s="3"/>
      <c r="D1056" s="15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3"/>
    </row>
    <row r="1057" spans="1:15" x14ac:dyDescent="0.25">
      <c r="A1057" s="2"/>
      <c r="B1057" s="3"/>
      <c r="C1057" s="3"/>
      <c r="D1057" s="15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3"/>
    </row>
    <row r="1058" spans="1:15" x14ac:dyDescent="0.25">
      <c r="A1058" s="2"/>
      <c r="B1058" s="3"/>
      <c r="C1058" s="3"/>
      <c r="D1058" s="15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3"/>
    </row>
    <row r="1059" spans="1:15" x14ac:dyDescent="0.25">
      <c r="A1059" s="2"/>
      <c r="B1059" s="3"/>
      <c r="C1059" s="3"/>
      <c r="D1059" s="15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3"/>
    </row>
    <row r="1060" spans="1:15" x14ac:dyDescent="0.25">
      <c r="A1060" s="2"/>
      <c r="B1060" s="3"/>
      <c r="C1060" s="3"/>
      <c r="D1060" s="15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3"/>
    </row>
    <row r="1061" spans="1:15" x14ac:dyDescent="0.25">
      <c r="A1061" s="2"/>
      <c r="B1061" s="3"/>
      <c r="C1061" s="3"/>
      <c r="D1061" s="15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3"/>
    </row>
    <row r="1062" spans="1:15" x14ac:dyDescent="0.25">
      <c r="A1062" s="2"/>
      <c r="B1062" s="3"/>
      <c r="C1062" s="3"/>
      <c r="D1062" s="15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3"/>
    </row>
    <row r="1063" spans="1:15" x14ac:dyDescent="0.25">
      <c r="A1063" s="2"/>
      <c r="B1063" s="3"/>
      <c r="C1063" s="3"/>
      <c r="D1063" s="15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3"/>
    </row>
    <row r="1064" spans="1:15" x14ac:dyDescent="0.25">
      <c r="A1064" s="2"/>
      <c r="B1064" s="3"/>
      <c r="C1064" s="3"/>
      <c r="D1064" s="15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3"/>
    </row>
    <row r="1065" spans="1:15" x14ac:dyDescent="0.25">
      <c r="A1065" s="2"/>
      <c r="B1065" s="3"/>
      <c r="C1065" s="3"/>
      <c r="D1065" s="15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3"/>
    </row>
    <row r="1066" spans="1:15" x14ac:dyDescent="0.25">
      <c r="A1066" s="2"/>
      <c r="B1066" s="3"/>
      <c r="C1066" s="3"/>
      <c r="D1066" s="15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3"/>
    </row>
    <row r="1067" spans="1:15" x14ac:dyDescent="0.25">
      <c r="A1067" s="2"/>
      <c r="B1067" s="3"/>
      <c r="C1067" s="3"/>
      <c r="D1067" s="15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3"/>
    </row>
    <row r="1068" spans="1:15" x14ac:dyDescent="0.25">
      <c r="A1068" s="2"/>
      <c r="B1068" s="3"/>
      <c r="C1068" s="3"/>
      <c r="D1068" s="15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3"/>
    </row>
    <row r="1069" spans="1:15" x14ac:dyDescent="0.25">
      <c r="A1069" s="2"/>
      <c r="B1069" s="3"/>
      <c r="C1069" s="3"/>
      <c r="D1069" s="15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3"/>
    </row>
    <row r="1070" spans="1:15" x14ac:dyDescent="0.25">
      <c r="A1070" s="2"/>
      <c r="B1070" s="3"/>
      <c r="C1070" s="3"/>
      <c r="D1070" s="15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3"/>
    </row>
    <row r="1071" spans="1:15" x14ac:dyDescent="0.25">
      <c r="A1071" s="2"/>
      <c r="B1071" s="3"/>
      <c r="C1071" s="3"/>
      <c r="D1071" s="15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3"/>
    </row>
    <row r="1072" spans="1:15" x14ac:dyDescent="0.25">
      <c r="A1072" s="2"/>
      <c r="B1072" s="3"/>
      <c r="C1072" s="3"/>
      <c r="D1072" s="15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3"/>
    </row>
    <row r="1073" spans="1:15" x14ac:dyDescent="0.25">
      <c r="A1073" s="2"/>
      <c r="B1073" s="3"/>
      <c r="C1073" s="3"/>
      <c r="D1073" s="15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3"/>
    </row>
    <row r="1074" spans="1:15" x14ac:dyDescent="0.25">
      <c r="A1074" s="2"/>
      <c r="B1074" s="3"/>
      <c r="C1074" s="3"/>
      <c r="D1074" s="15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3"/>
    </row>
    <row r="1075" spans="1:15" x14ac:dyDescent="0.25">
      <c r="A1075" s="2"/>
      <c r="B1075" s="3"/>
      <c r="C1075" s="3"/>
      <c r="D1075" s="15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3"/>
    </row>
    <row r="1076" spans="1:15" x14ac:dyDescent="0.25">
      <c r="A1076" s="2"/>
      <c r="B1076" s="3"/>
      <c r="C1076" s="3"/>
      <c r="D1076" s="15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3"/>
    </row>
    <row r="1077" spans="1:15" x14ac:dyDescent="0.25">
      <c r="A1077" s="2"/>
      <c r="B1077" s="3"/>
      <c r="C1077" s="3"/>
      <c r="D1077" s="15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3"/>
    </row>
    <row r="1078" spans="1:15" x14ac:dyDescent="0.25">
      <c r="A1078" s="2"/>
      <c r="B1078" s="3"/>
      <c r="C1078" s="3"/>
      <c r="D1078" s="15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3"/>
    </row>
    <row r="1079" spans="1:15" x14ac:dyDescent="0.25">
      <c r="A1079" s="2"/>
      <c r="B1079" s="3"/>
      <c r="C1079" s="3"/>
      <c r="D1079" s="15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3"/>
    </row>
    <row r="1080" spans="1:15" x14ac:dyDescent="0.25">
      <c r="A1080" s="2"/>
      <c r="B1080" s="3"/>
      <c r="C1080" s="3"/>
      <c r="D1080" s="15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3"/>
    </row>
    <row r="1081" spans="1:15" x14ac:dyDescent="0.25">
      <c r="A1081" s="2"/>
      <c r="B1081" s="3"/>
      <c r="C1081" s="3"/>
      <c r="D1081" s="15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3"/>
    </row>
    <row r="1082" spans="1:15" x14ac:dyDescent="0.25">
      <c r="A1082" s="2"/>
      <c r="B1082" s="3"/>
      <c r="C1082" s="3"/>
      <c r="D1082" s="15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3"/>
    </row>
    <row r="1083" spans="1:15" x14ac:dyDescent="0.25">
      <c r="A1083" s="2"/>
      <c r="B1083" s="3"/>
      <c r="C1083" s="3"/>
      <c r="D1083" s="15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3"/>
    </row>
    <row r="1084" spans="1:15" x14ac:dyDescent="0.25">
      <c r="A1084" s="2"/>
      <c r="B1084" s="3"/>
      <c r="C1084" s="3"/>
      <c r="D1084" s="15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3"/>
    </row>
    <row r="1085" spans="1:15" x14ac:dyDescent="0.25">
      <c r="A1085" s="2"/>
      <c r="B1085" s="3"/>
      <c r="C1085" s="3"/>
      <c r="D1085" s="15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3"/>
    </row>
    <row r="1086" spans="1:15" x14ac:dyDescent="0.25">
      <c r="A1086" s="2"/>
      <c r="B1086" s="3"/>
      <c r="C1086" s="3"/>
      <c r="D1086" s="15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3"/>
    </row>
    <row r="1087" spans="1:15" x14ac:dyDescent="0.25">
      <c r="A1087" s="2"/>
      <c r="B1087" s="3"/>
      <c r="C1087" s="3"/>
      <c r="D1087" s="15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3"/>
    </row>
    <row r="1088" spans="1:15" x14ac:dyDescent="0.25">
      <c r="A1088" s="2"/>
      <c r="B1088" s="3"/>
      <c r="C1088" s="3"/>
      <c r="D1088" s="15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3"/>
    </row>
    <row r="1089" spans="1:15" x14ac:dyDescent="0.25">
      <c r="A1089" s="2"/>
      <c r="B1089" s="3"/>
      <c r="C1089" s="3"/>
      <c r="D1089" s="15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3"/>
    </row>
    <row r="1090" spans="1:15" x14ac:dyDescent="0.25">
      <c r="A1090" s="2"/>
      <c r="B1090" s="3"/>
      <c r="C1090" s="3"/>
      <c r="D1090" s="15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3"/>
    </row>
    <row r="1091" spans="1:15" x14ac:dyDescent="0.25">
      <c r="A1091" s="2"/>
      <c r="B1091" s="3"/>
      <c r="C1091" s="3"/>
      <c r="D1091" s="15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3"/>
    </row>
    <row r="1092" spans="1:15" x14ac:dyDescent="0.25">
      <c r="A1092" s="2"/>
      <c r="B1092" s="3"/>
      <c r="C1092" s="3"/>
      <c r="D1092" s="15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3"/>
    </row>
    <row r="1093" spans="1:15" x14ac:dyDescent="0.25">
      <c r="A1093" s="2"/>
      <c r="B1093" s="3"/>
      <c r="C1093" s="3"/>
      <c r="D1093" s="15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3"/>
    </row>
    <row r="1094" spans="1:15" x14ac:dyDescent="0.25">
      <c r="A1094" s="2"/>
      <c r="B1094" s="3"/>
      <c r="C1094" s="3"/>
      <c r="D1094" s="15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3"/>
    </row>
    <row r="1095" spans="1:15" x14ac:dyDescent="0.25">
      <c r="A1095" s="2"/>
      <c r="B1095" s="3"/>
      <c r="C1095" s="3"/>
      <c r="D1095" s="15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3"/>
    </row>
    <row r="1096" spans="1:15" x14ac:dyDescent="0.25">
      <c r="A1096" s="2"/>
      <c r="B1096" s="3"/>
      <c r="C1096" s="3"/>
      <c r="D1096" s="15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3"/>
    </row>
    <row r="1097" spans="1:15" x14ac:dyDescent="0.25">
      <c r="A1097" s="2"/>
      <c r="B1097" s="3"/>
      <c r="C1097" s="3"/>
      <c r="D1097" s="15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3"/>
    </row>
    <row r="1098" spans="1:15" x14ac:dyDescent="0.25">
      <c r="A1098" s="2"/>
      <c r="B1098" s="3"/>
      <c r="C1098" s="3"/>
      <c r="D1098" s="15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3"/>
    </row>
    <row r="1099" spans="1:15" x14ac:dyDescent="0.25">
      <c r="A1099" s="2"/>
      <c r="B1099" s="3"/>
      <c r="C1099" s="3"/>
      <c r="D1099" s="15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3"/>
    </row>
    <row r="1100" spans="1:15" x14ac:dyDescent="0.25">
      <c r="A1100" s="2"/>
      <c r="B1100" s="3"/>
      <c r="C1100" s="3"/>
      <c r="D1100" s="15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3"/>
    </row>
    <row r="1101" spans="1:15" x14ac:dyDescent="0.25">
      <c r="A1101" s="2"/>
      <c r="B1101" s="3"/>
      <c r="C1101" s="3"/>
      <c r="D1101" s="15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3"/>
    </row>
    <row r="1102" spans="1:15" x14ac:dyDescent="0.25">
      <c r="A1102" s="2"/>
      <c r="B1102" s="3"/>
      <c r="C1102" s="3"/>
      <c r="D1102" s="15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3"/>
    </row>
    <row r="1103" spans="1:15" x14ac:dyDescent="0.25">
      <c r="A1103" s="2"/>
      <c r="B1103" s="3"/>
      <c r="C1103" s="3"/>
      <c r="D1103" s="15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3"/>
    </row>
    <row r="1104" spans="1:15" x14ac:dyDescent="0.25">
      <c r="A1104" s="2"/>
      <c r="B1104" s="3"/>
      <c r="C1104" s="3"/>
      <c r="D1104" s="15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3"/>
    </row>
    <row r="1105" spans="1:15" x14ac:dyDescent="0.25">
      <c r="A1105" s="2"/>
      <c r="B1105" s="3"/>
      <c r="C1105" s="3"/>
      <c r="D1105" s="15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3"/>
    </row>
    <row r="1106" spans="1:15" x14ac:dyDescent="0.25">
      <c r="A1106" s="2"/>
      <c r="B1106" s="3"/>
      <c r="C1106" s="3"/>
      <c r="D1106" s="15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3"/>
    </row>
    <row r="1107" spans="1:15" x14ac:dyDescent="0.25">
      <c r="A1107" s="2"/>
      <c r="B1107" s="3"/>
      <c r="C1107" s="3"/>
      <c r="D1107" s="15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3"/>
    </row>
    <row r="1108" spans="1:15" x14ac:dyDescent="0.25">
      <c r="A1108" s="2"/>
      <c r="B1108" s="3"/>
      <c r="C1108" s="3"/>
      <c r="D1108" s="15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3"/>
    </row>
    <row r="1109" spans="1:15" x14ac:dyDescent="0.25">
      <c r="A1109" s="2"/>
      <c r="B1109" s="3"/>
      <c r="C1109" s="3"/>
      <c r="D1109" s="15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3"/>
    </row>
    <row r="1110" spans="1:15" x14ac:dyDescent="0.25">
      <c r="A1110" s="2"/>
      <c r="B1110" s="3"/>
      <c r="C1110" s="3"/>
      <c r="D1110" s="15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3"/>
    </row>
    <row r="1111" spans="1:15" x14ac:dyDescent="0.25">
      <c r="A1111" s="2"/>
      <c r="B1111" s="3"/>
      <c r="C1111" s="3"/>
      <c r="D1111" s="15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3"/>
    </row>
    <row r="1112" spans="1:15" x14ac:dyDescent="0.25">
      <c r="A1112" s="2"/>
      <c r="B1112" s="3"/>
      <c r="C1112" s="3"/>
      <c r="D1112" s="15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3"/>
    </row>
    <row r="1113" spans="1:15" x14ac:dyDescent="0.25">
      <c r="A1113" s="2"/>
      <c r="B1113" s="3"/>
      <c r="C1113" s="3"/>
      <c r="D1113" s="15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3"/>
    </row>
    <row r="1114" spans="1:15" x14ac:dyDescent="0.25">
      <c r="A1114" s="2"/>
      <c r="B1114" s="3"/>
      <c r="C1114" s="3"/>
      <c r="D1114" s="15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3"/>
    </row>
    <row r="1115" spans="1:15" x14ac:dyDescent="0.25">
      <c r="A1115" s="2"/>
      <c r="B1115" s="3"/>
      <c r="C1115" s="3"/>
      <c r="D1115" s="15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3"/>
    </row>
    <row r="1116" spans="1:15" x14ac:dyDescent="0.25">
      <c r="A1116" s="2"/>
      <c r="B1116" s="3"/>
      <c r="C1116" s="3"/>
      <c r="D1116" s="15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3"/>
    </row>
    <row r="1117" spans="1:15" x14ac:dyDescent="0.25">
      <c r="A1117" s="2"/>
      <c r="B1117" s="3"/>
      <c r="C1117" s="3"/>
      <c r="D1117" s="15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3"/>
    </row>
    <row r="1118" spans="1:15" x14ac:dyDescent="0.25">
      <c r="A1118" s="2"/>
      <c r="B1118" s="3"/>
      <c r="C1118" s="3"/>
      <c r="D1118" s="15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3"/>
    </row>
    <row r="1119" spans="1:15" x14ac:dyDescent="0.25">
      <c r="A1119" s="2"/>
      <c r="B1119" s="3"/>
      <c r="C1119" s="3"/>
      <c r="D1119" s="15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3"/>
    </row>
    <row r="1120" spans="1:15" x14ac:dyDescent="0.25">
      <c r="A1120" s="2"/>
      <c r="B1120" s="3"/>
      <c r="C1120" s="3"/>
      <c r="D1120" s="15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3"/>
    </row>
    <row r="1121" spans="1:15" x14ac:dyDescent="0.25">
      <c r="A1121" s="2"/>
      <c r="B1121" s="3"/>
      <c r="C1121" s="3"/>
      <c r="D1121" s="15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3"/>
    </row>
    <row r="1122" spans="1:15" x14ac:dyDescent="0.25">
      <c r="A1122" s="2"/>
      <c r="B1122" s="3"/>
      <c r="C1122" s="3"/>
      <c r="D1122" s="15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3"/>
    </row>
    <row r="1123" spans="1:15" x14ac:dyDescent="0.25">
      <c r="A1123" s="2"/>
      <c r="B1123" s="3"/>
      <c r="C1123" s="3"/>
      <c r="D1123" s="15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3"/>
    </row>
    <row r="1124" spans="1:15" x14ac:dyDescent="0.25">
      <c r="A1124" s="2"/>
      <c r="B1124" s="3"/>
      <c r="C1124" s="3"/>
      <c r="D1124" s="15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3"/>
    </row>
    <row r="1125" spans="1:15" x14ac:dyDescent="0.25">
      <c r="A1125" s="2"/>
      <c r="B1125" s="3"/>
      <c r="C1125" s="3"/>
      <c r="D1125" s="15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3"/>
    </row>
    <row r="1126" spans="1:15" x14ac:dyDescent="0.25">
      <c r="A1126" s="2"/>
      <c r="B1126" s="3"/>
      <c r="C1126" s="3"/>
      <c r="D1126" s="15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3"/>
    </row>
    <row r="1127" spans="1:15" x14ac:dyDescent="0.25">
      <c r="A1127" s="2"/>
      <c r="B1127" s="3"/>
      <c r="C1127" s="3"/>
      <c r="D1127" s="15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3"/>
    </row>
    <row r="1128" spans="1:15" x14ac:dyDescent="0.25">
      <c r="A1128" s="2"/>
      <c r="B1128" s="3"/>
      <c r="C1128" s="3"/>
      <c r="D1128" s="15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3"/>
    </row>
    <row r="1129" spans="1:15" x14ac:dyDescent="0.25">
      <c r="A1129" s="2"/>
      <c r="B1129" s="3"/>
      <c r="C1129" s="3"/>
      <c r="D1129" s="15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3"/>
    </row>
    <row r="1130" spans="1:15" x14ac:dyDescent="0.25">
      <c r="A1130" s="2"/>
      <c r="B1130" s="3"/>
      <c r="C1130" s="3"/>
      <c r="D1130" s="15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3"/>
    </row>
    <row r="1131" spans="1:15" x14ac:dyDescent="0.25">
      <c r="A1131" s="2"/>
      <c r="B1131" s="3"/>
      <c r="C1131" s="3"/>
      <c r="D1131" s="15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3"/>
    </row>
    <row r="1132" spans="1:15" x14ac:dyDescent="0.25">
      <c r="A1132" s="2"/>
      <c r="B1132" s="3"/>
      <c r="C1132" s="3"/>
      <c r="D1132" s="15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3"/>
    </row>
    <row r="1133" spans="1:15" x14ac:dyDescent="0.25">
      <c r="A1133" s="2"/>
      <c r="B1133" s="3"/>
      <c r="C1133" s="3"/>
      <c r="D1133" s="15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3"/>
    </row>
    <row r="1134" spans="1:15" x14ac:dyDescent="0.25">
      <c r="A1134" s="2"/>
      <c r="B1134" s="3"/>
      <c r="C1134" s="3"/>
      <c r="D1134" s="15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3"/>
    </row>
    <row r="1135" spans="1:15" x14ac:dyDescent="0.25">
      <c r="A1135" s="2"/>
      <c r="B1135" s="3"/>
      <c r="C1135" s="3"/>
      <c r="D1135" s="15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3"/>
    </row>
    <row r="1136" spans="1:15" x14ac:dyDescent="0.25">
      <c r="A1136" s="2"/>
      <c r="B1136" s="3"/>
      <c r="C1136" s="3"/>
      <c r="D1136" s="15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3"/>
    </row>
    <row r="1137" spans="1:15" x14ac:dyDescent="0.25">
      <c r="A1137" s="2"/>
      <c r="B1137" s="3"/>
      <c r="C1137" s="3"/>
      <c r="D1137" s="15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3"/>
    </row>
    <row r="1138" spans="1:15" x14ac:dyDescent="0.25">
      <c r="A1138" s="2"/>
      <c r="B1138" s="3"/>
      <c r="C1138" s="3"/>
      <c r="D1138" s="15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3"/>
    </row>
    <row r="1139" spans="1:15" x14ac:dyDescent="0.25">
      <c r="A1139" s="2"/>
      <c r="B1139" s="3"/>
      <c r="C1139" s="3"/>
      <c r="D1139" s="15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3"/>
    </row>
    <row r="1140" spans="1:15" x14ac:dyDescent="0.25">
      <c r="A1140" s="2"/>
      <c r="B1140" s="3"/>
      <c r="C1140" s="3"/>
      <c r="D1140" s="15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3"/>
    </row>
    <row r="1141" spans="1:15" x14ac:dyDescent="0.25">
      <c r="A1141" s="2"/>
      <c r="B1141" s="3"/>
      <c r="C1141" s="3"/>
      <c r="D1141" s="15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3"/>
    </row>
    <row r="1142" spans="1:15" x14ac:dyDescent="0.25">
      <c r="A1142" s="2"/>
      <c r="B1142" s="3"/>
      <c r="C1142" s="3"/>
      <c r="D1142" s="15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3"/>
    </row>
    <row r="1143" spans="1:15" x14ac:dyDescent="0.25">
      <c r="A1143" s="2"/>
      <c r="B1143" s="3"/>
      <c r="C1143" s="3"/>
      <c r="D1143" s="15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3"/>
    </row>
    <row r="1144" spans="1:15" x14ac:dyDescent="0.25">
      <c r="A1144" s="2"/>
      <c r="B1144" s="3"/>
      <c r="C1144" s="3"/>
      <c r="D1144" s="15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3"/>
    </row>
    <row r="1145" spans="1:15" x14ac:dyDescent="0.25">
      <c r="A1145" s="2"/>
      <c r="B1145" s="3"/>
      <c r="C1145" s="3"/>
      <c r="D1145" s="15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3"/>
    </row>
    <row r="1146" spans="1:15" x14ac:dyDescent="0.25">
      <c r="A1146" s="2"/>
      <c r="B1146" s="3"/>
      <c r="C1146" s="3"/>
      <c r="D1146" s="15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3"/>
    </row>
    <row r="1147" spans="1:15" x14ac:dyDescent="0.25">
      <c r="A1147" s="2"/>
      <c r="B1147" s="3"/>
      <c r="C1147" s="3"/>
      <c r="D1147" s="15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3"/>
    </row>
    <row r="1148" spans="1:15" x14ac:dyDescent="0.25">
      <c r="A1148" s="2"/>
      <c r="B1148" s="3"/>
      <c r="C1148" s="3"/>
      <c r="D1148" s="15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3"/>
    </row>
    <row r="1149" spans="1:15" x14ac:dyDescent="0.25">
      <c r="A1149" s="2"/>
      <c r="B1149" s="3"/>
      <c r="C1149" s="3"/>
      <c r="D1149" s="15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3"/>
    </row>
    <row r="1150" spans="1:15" x14ac:dyDescent="0.25">
      <c r="A1150" s="2"/>
      <c r="B1150" s="3"/>
      <c r="C1150" s="3"/>
      <c r="D1150" s="15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3"/>
    </row>
    <row r="1151" spans="1:15" x14ac:dyDescent="0.25">
      <c r="A1151" s="2"/>
      <c r="B1151" s="3"/>
      <c r="C1151" s="3"/>
      <c r="D1151" s="15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3"/>
    </row>
    <row r="1152" spans="1:15" x14ac:dyDescent="0.25">
      <c r="A1152" s="2"/>
      <c r="B1152" s="3"/>
      <c r="C1152" s="3"/>
      <c r="D1152" s="15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3"/>
    </row>
    <row r="1153" spans="1:15" x14ac:dyDescent="0.25">
      <c r="A1153" s="2"/>
      <c r="B1153" s="3"/>
      <c r="C1153" s="3"/>
      <c r="D1153" s="15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3"/>
    </row>
    <row r="1154" spans="1:15" x14ac:dyDescent="0.25">
      <c r="A1154" s="2"/>
      <c r="B1154" s="3"/>
      <c r="C1154" s="3"/>
      <c r="D1154" s="15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3"/>
    </row>
    <row r="1155" spans="1:15" x14ac:dyDescent="0.25">
      <c r="A1155" s="2"/>
      <c r="B1155" s="3"/>
      <c r="C1155" s="3"/>
      <c r="D1155" s="15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3"/>
    </row>
    <row r="1156" spans="1:15" x14ac:dyDescent="0.25">
      <c r="A1156" s="2"/>
      <c r="B1156" s="3"/>
      <c r="C1156" s="3"/>
      <c r="D1156" s="15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3"/>
    </row>
    <row r="1157" spans="1:15" x14ac:dyDescent="0.25">
      <c r="A1157" s="2"/>
      <c r="B1157" s="3"/>
      <c r="C1157" s="3"/>
      <c r="D1157" s="15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3"/>
    </row>
    <row r="1158" spans="1:15" x14ac:dyDescent="0.25">
      <c r="A1158" s="2"/>
      <c r="B1158" s="3"/>
      <c r="C1158" s="3"/>
      <c r="D1158" s="15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3"/>
    </row>
    <row r="1159" spans="1:15" x14ac:dyDescent="0.25">
      <c r="A1159" s="2"/>
      <c r="B1159" s="3"/>
      <c r="C1159" s="3"/>
      <c r="D1159" s="15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3"/>
    </row>
    <row r="1160" spans="1:15" x14ac:dyDescent="0.25">
      <c r="A1160" s="2"/>
      <c r="B1160" s="3"/>
      <c r="C1160" s="3"/>
      <c r="D1160" s="15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3"/>
    </row>
    <row r="1161" spans="1:15" x14ac:dyDescent="0.25">
      <c r="A1161" s="2"/>
      <c r="B1161" s="3"/>
      <c r="C1161" s="3"/>
      <c r="D1161" s="15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3"/>
    </row>
    <row r="1162" spans="1:15" x14ac:dyDescent="0.25">
      <c r="A1162" s="2"/>
      <c r="B1162" s="3"/>
      <c r="C1162" s="3"/>
      <c r="D1162" s="15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3"/>
    </row>
    <row r="1163" spans="1:15" x14ac:dyDescent="0.25">
      <c r="A1163" s="2"/>
      <c r="B1163" s="3"/>
      <c r="C1163" s="3"/>
      <c r="D1163" s="15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3"/>
    </row>
    <row r="1164" spans="1:15" x14ac:dyDescent="0.25">
      <c r="A1164" s="2"/>
      <c r="B1164" s="3"/>
      <c r="C1164" s="3"/>
      <c r="D1164" s="15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3"/>
    </row>
    <row r="1165" spans="1:15" x14ac:dyDescent="0.25">
      <c r="A1165" s="2"/>
      <c r="B1165" s="3"/>
      <c r="C1165" s="3"/>
      <c r="D1165" s="15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3"/>
    </row>
    <row r="1166" spans="1:15" x14ac:dyDescent="0.25">
      <c r="A1166" s="2"/>
      <c r="B1166" s="3"/>
      <c r="C1166" s="3"/>
      <c r="D1166" s="15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3"/>
    </row>
    <row r="1167" spans="1:15" x14ac:dyDescent="0.25">
      <c r="A1167" s="2"/>
      <c r="B1167" s="3"/>
      <c r="C1167" s="3"/>
      <c r="D1167" s="15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3"/>
    </row>
    <row r="1168" spans="1:15" x14ac:dyDescent="0.25">
      <c r="A1168" s="2"/>
      <c r="B1168" s="3"/>
      <c r="C1168" s="3"/>
      <c r="D1168" s="15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3"/>
    </row>
    <row r="1169" spans="1:15" x14ac:dyDescent="0.25">
      <c r="A1169" s="2"/>
      <c r="B1169" s="3"/>
      <c r="C1169" s="3"/>
      <c r="D1169" s="15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3"/>
    </row>
    <row r="1170" spans="1:15" x14ac:dyDescent="0.25">
      <c r="A1170" s="2"/>
      <c r="B1170" s="3"/>
      <c r="C1170" s="3"/>
      <c r="D1170" s="15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3"/>
    </row>
    <row r="1171" spans="1:15" x14ac:dyDescent="0.25">
      <c r="A1171" s="2"/>
      <c r="B1171" s="3"/>
      <c r="C1171" s="3"/>
      <c r="D1171" s="15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3"/>
    </row>
    <row r="1172" spans="1:15" x14ac:dyDescent="0.25">
      <c r="A1172" s="2"/>
      <c r="B1172" s="3"/>
      <c r="C1172" s="3"/>
      <c r="D1172" s="15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3"/>
    </row>
    <row r="1173" spans="1:15" x14ac:dyDescent="0.25">
      <c r="A1173" s="2"/>
      <c r="B1173" s="3"/>
      <c r="C1173" s="3"/>
      <c r="D1173" s="15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3"/>
    </row>
    <row r="1174" spans="1:15" x14ac:dyDescent="0.25">
      <c r="A1174" s="2"/>
      <c r="B1174" s="3"/>
      <c r="C1174" s="3"/>
      <c r="D1174" s="15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3"/>
    </row>
    <row r="1175" spans="1:15" x14ac:dyDescent="0.25">
      <c r="A1175" s="2"/>
      <c r="B1175" s="3"/>
      <c r="C1175" s="3"/>
      <c r="D1175" s="15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3"/>
    </row>
    <row r="1176" spans="1:15" x14ac:dyDescent="0.25">
      <c r="A1176" s="2"/>
      <c r="B1176" s="3"/>
      <c r="C1176" s="3"/>
      <c r="D1176" s="15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3"/>
    </row>
    <row r="1177" spans="1:15" x14ac:dyDescent="0.25">
      <c r="A1177" s="2"/>
      <c r="B1177" s="3"/>
      <c r="C1177" s="3"/>
      <c r="D1177" s="15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3"/>
    </row>
    <row r="1178" spans="1:15" x14ac:dyDescent="0.25">
      <c r="A1178" s="2"/>
      <c r="B1178" s="3"/>
      <c r="C1178" s="3"/>
      <c r="D1178" s="15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3"/>
    </row>
    <row r="1179" spans="1:15" x14ac:dyDescent="0.25">
      <c r="A1179" s="2"/>
      <c r="B1179" s="3"/>
      <c r="C1179" s="3"/>
      <c r="D1179" s="15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3"/>
    </row>
    <row r="1180" spans="1:15" x14ac:dyDescent="0.25">
      <c r="A1180" s="2"/>
      <c r="B1180" s="3"/>
      <c r="C1180" s="3"/>
      <c r="D1180" s="15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3"/>
    </row>
    <row r="1181" spans="1:15" x14ac:dyDescent="0.25">
      <c r="A1181" s="2"/>
      <c r="B1181" s="3"/>
      <c r="C1181" s="3"/>
      <c r="D1181" s="15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3"/>
    </row>
    <row r="1182" spans="1:15" x14ac:dyDescent="0.25">
      <c r="A1182" s="2"/>
      <c r="B1182" s="3"/>
      <c r="C1182" s="3"/>
      <c r="D1182" s="15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3"/>
    </row>
    <row r="1183" spans="1:15" x14ac:dyDescent="0.25">
      <c r="A1183" s="2"/>
      <c r="B1183" s="3"/>
      <c r="C1183" s="3"/>
      <c r="D1183" s="15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3"/>
    </row>
    <row r="1184" spans="1:15" x14ac:dyDescent="0.25">
      <c r="A1184" s="2"/>
      <c r="B1184" s="3"/>
      <c r="C1184" s="3"/>
      <c r="D1184" s="15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3"/>
    </row>
    <row r="1185" spans="1:15" x14ac:dyDescent="0.25">
      <c r="A1185" s="2"/>
      <c r="B1185" s="3"/>
      <c r="C1185" s="3"/>
      <c r="D1185" s="15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3"/>
    </row>
    <row r="1186" spans="1:15" x14ac:dyDescent="0.25">
      <c r="A1186" s="2"/>
      <c r="B1186" s="3"/>
      <c r="C1186" s="3"/>
      <c r="D1186" s="15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3"/>
    </row>
    <row r="1187" spans="1:15" x14ac:dyDescent="0.25">
      <c r="A1187" s="2"/>
      <c r="B1187" s="3"/>
      <c r="C1187" s="3"/>
      <c r="D1187" s="15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3"/>
    </row>
    <row r="1188" spans="1:15" x14ac:dyDescent="0.25">
      <c r="A1188" s="2"/>
      <c r="B1188" s="3"/>
      <c r="C1188" s="3"/>
      <c r="D1188" s="15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3"/>
    </row>
    <row r="1189" spans="1:15" x14ac:dyDescent="0.25">
      <c r="A1189" s="2"/>
      <c r="B1189" s="3"/>
      <c r="C1189" s="3"/>
      <c r="D1189" s="15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3"/>
    </row>
    <row r="1190" spans="1:15" x14ac:dyDescent="0.25">
      <c r="A1190" s="2"/>
      <c r="B1190" s="3"/>
      <c r="C1190" s="3"/>
      <c r="D1190" s="15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3"/>
    </row>
    <row r="1191" spans="1:15" x14ac:dyDescent="0.25">
      <c r="A1191" s="2"/>
      <c r="B1191" s="3"/>
      <c r="C1191" s="3"/>
      <c r="D1191" s="15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3"/>
    </row>
    <row r="1192" spans="1:15" x14ac:dyDescent="0.25">
      <c r="A1192" s="2"/>
      <c r="B1192" s="3"/>
      <c r="C1192" s="3"/>
      <c r="D1192" s="15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3"/>
    </row>
    <row r="1193" spans="1:15" x14ac:dyDescent="0.25">
      <c r="A1193" s="2"/>
      <c r="B1193" s="3"/>
      <c r="C1193" s="3"/>
      <c r="D1193" s="15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3"/>
    </row>
    <row r="1194" spans="1:15" x14ac:dyDescent="0.25">
      <c r="A1194" s="2"/>
      <c r="B1194" s="3"/>
      <c r="C1194" s="3"/>
      <c r="D1194" s="15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3"/>
    </row>
    <row r="1195" spans="1:15" x14ac:dyDescent="0.25">
      <c r="A1195" s="2"/>
      <c r="B1195" s="3"/>
      <c r="C1195" s="3"/>
      <c r="D1195" s="15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3"/>
    </row>
    <row r="1196" spans="1:15" x14ac:dyDescent="0.25">
      <c r="A1196" s="2"/>
      <c r="B1196" s="3"/>
      <c r="C1196" s="3"/>
      <c r="D1196" s="15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3"/>
    </row>
    <row r="1197" spans="1:15" x14ac:dyDescent="0.25">
      <c r="A1197" s="2"/>
      <c r="B1197" s="3"/>
      <c r="C1197" s="3"/>
      <c r="D1197" s="15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3"/>
    </row>
    <row r="1198" spans="1:15" x14ac:dyDescent="0.25">
      <c r="A1198" s="2"/>
      <c r="B1198" s="3"/>
      <c r="C1198" s="3"/>
      <c r="D1198" s="15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3"/>
    </row>
    <row r="1199" spans="1:15" x14ac:dyDescent="0.25">
      <c r="A1199" s="2"/>
      <c r="B1199" s="3"/>
      <c r="C1199" s="3"/>
      <c r="D1199" s="15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3"/>
    </row>
    <row r="1200" spans="1:15" x14ac:dyDescent="0.25">
      <c r="A1200" s="2"/>
      <c r="B1200" s="3"/>
      <c r="C1200" s="3"/>
      <c r="D1200" s="15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3"/>
    </row>
    <row r="1201" spans="1:15" x14ac:dyDescent="0.25">
      <c r="A1201" s="2"/>
      <c r="B1201" s="3"/>
      <c r="C1201" s="3"/>
      <c r="D1201" s="15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3"/>
    </row>
    <row r="1202" spans="1:15" x14ac:dyDescent="0.25">
      <c r="A1202" s="2"/>
      <c r="B1202" s="3"/>
      <c r="C1202" s="3"/>
      <c r="D1202" s="15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3"/>
    </row>
    <row r="1203" spans="1:15" x14ac:dyDescent="0.25">
      <c r="A1203" s="2"/>
      <c r="B1203" s="3"/>
      <c r="C1203" s="3"/>
      <c r="D1203" s="15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3"/>
    </row>
    <row r="1204" spans="1:15" x14ac:dyDescent="0.25">
      <c r="A1204" s="2"/>
      <c r="B1204" s="3"/>
      <c r="C1204" s="3"/>
      <c r="D1204" s="15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3"/>
    </row>
    <row r="1205" spans="1:15" x14ac:dyDescent="0.25">
      <c r="A1205" s="2"/>
      <c r="B1205" s="3"/>
      <c r="C1205" s="3"/>
      <c r="D1205" s="15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3"/>
    </row>
    <row r="1206" spans="1:15" x14ac:dyDescent="0.25">
      <c r="A1206" s="2"/>
      <c r="B1206" s="3"/>
      <c r="C1206" s="3"/>
      <c r="D1206" s="15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3"/>
    </row>
    <row r="1207" spans="1:15" x14ac:dyDescent="0.25">
      <c r="A1207" s="2"/>
      <c r="B1207" s="3"/>
      <c r="C1207" s="3"/>
      <c r="D1207" s="15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3"/>
    </row>
    <row r="1208" spans="1:15" x14ac:dyDescent="0.25">
      <c r="A1208" s="2"/>
      <c r="B1208" s="3"/>
      <c r="C1208" s="3"/>
      <c r="D1208" s="15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3"/>
    </row>
    <row r="1209" spans="1:15" x14ac:dyDescent="0.25">
      <c r="A1209" s="2"/>
      <c r="B1209" s="3"/>
      <c r="C1209" s="3"/>
      <c r="D1209" s="15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3"/>
    </row>
    <row r="1210" spans="1:15" x14ac:dyDescent="0.25">
      <c r="A1210" s="2"/>
      <c r="B1210" s="3"/>
      <c r="C1210" s="3"/>
      <c r="D1210" s="15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3"/>
    </row>
    <row r="1211" spans="1:15" x14ac:dyDescent="0.25">
      <c r="A1211" s="2"/>
      <c r="B1211" s="3"/>
      <c r="C1211" s="3"/>
      <c r="D1211" s="15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3"/>
    </row>
    <row r="1212" spans="1:15" x14ac:dyDescent="0.25">
      <c r="A1212" s="2"/>
      <c r="B1212" s="3"/>
      <c r="C1212" s="3"/>
      <c r="D1212" s="15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3"/>
    </row>
    <row r="1213" spans="1:15" x14ac:dyDescent="0.25">
      <c r="A1213" s="2"/>
      <c r="B1213" s="3"/>
      <c r="C1213" s="3"/>
      <c r="D1213" s="15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3"/>
    </row>
    <row r="1214" spans="1:15" x14ac:dyDescent="0.25">
      <c r="A1214" s="2"/>
      <c r="B1214" s="3"/>
      <c r="C1214" s="3"/>
      <c r="D1214" s="15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3"/>
    </row>
    <row r="1215" spans="1:15" x14ac:dyDescent="0.25">
      <c r="A1215" s="2"/>
      <c r="B1215" s="3"/>
      <c r="C1215" s="3"/>
      <c r="D1215" s="15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3"/>
    </row>
    <row r="1216" spans="1:15" x14ac:dyDescent="0.25">
      <c r="A1216" s="2"/>
      <c r="B1216" s="3"/>
      <c r="C1216" s="3"/>
      <c r="D1216" s="15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3"/>
    </row>
    <row r="1217" spans="1:15" x14ac:dyDescent="0.25">
      <c r="A1217" s="2"/>
      <c r="B1217" s="3"/>
      <c r="C1217" s="3"/>
      <c r="D1217" s="15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3"/>
    </row>
    <row r="1218" spans="1:15" x14ac:dyDescent="0.25">
      <c r="A1218" s="2"/>
      <c r="B1218" s="3"/>
      <c r="C1218" s="3"/>
      <c r="D1218" s="15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3"/>
    </row>
    <row r="1219" spans="1:15" x14ac:dyDescent="0.25">
      <c r="A1219" s="2"/>
      <c r="B1219" s="3"/>
      <c r="C1219" s="3"/>
      <c r="D1219" s="15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3"/>
    </row>
    <row r="1220" spans="1:15" x14ac:dyDescent="0.25">
      <c r="A1220" s="2"/>
      <c r="B1220" s="3"/>
      <c r="C1220" s="3"/>
      <c r="D1220" s="15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3"/>
    </row>
    <row r="1221" spans="1:15" x14ac:dyDescent="0.25">
      <c r="A1221" s="2"/>
      <c r="B1221" s="3"/>
      <c r="C1221" s="3"/>
      <c r="D1221" s="15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3"/>
    </row>
    <row r="1222" spans="1:15" x14ac:dyDescent="0.25">
      <c r="A1222" s="2"/>
      <c r="B1222" s="3"/>
      <c r="C1222" s="3"/>
      <c r="D1222" s="15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3"/>
    </row>
    <row r="1223" spans="1:15" x14ac:dyDescent="0.25">
      <c r="A1223" s="2"/>
      <c r="B1223" s="3"/>
      <c r="C1223" s="3"/>
      <c r="D1223" s="15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3"/>
    </row>
    <row r="1224" spans="1:15" x14ac:dyDescent="0.25">
      <c r="A1224" s="2"/>
      <c r="B1224" s="3"/>
      <c r="C1224" s="3"/>
      <c r="D1224" s="15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3"/>
    </row>
    <row r="1225" spans="1:15" x14ac:dyDescent="0.25">
      <c r="A1225" s="2"/>
      <c r="B1225" s="3"/>
      <c r="C1225" s="3"/>
      <c r="D1225" s="15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3"/>
    </row>
    <row r="1226" spans="1:15" x14ac:dyDescent="0.25">
      <c r="A1226" s="2"/>
      <c r="B1226" s="3"/>
      <c r="C1226" s="3"/>
      <c r="D1226" s="15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3"/>
    </row>
    <row r="1227" spans="1:15" x14ac:dyDescent="0.25">
      <c r="A1227" s="2"/>
      <c r="B1227" s="3"/>
      <c r="C1227" s="3"/>
      <c r="D1227" s="15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3"/>
    </row>
    <row r="1228" spans="1:15" x14ac:dyDescent="0.25">
      <c r="A1228" s="2"/>
      <c r="B1228" s="3"/>
      <c r="C1228" s="3"/>
      <c r="D1228" s="15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3"/>
    </row>
    <row r="1229" spans="1:15" x14ac:dyDescent="0.25">
      <c r="A1229" s="2"/>
      <c r="B1229" s="3"/>
      <c r="C1229" s="3"/>
      <c r="D1229" s="15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3"/>
    </row>
    <row r="1230" spans="1:15" x14ac:dyDescent="0.25">
      <c r="A1230" s="2"/>
      <c r="B1230" s="3"/>
      <c r="C1230" s="3"/>
      <c r="D1230" s="15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3"/>
    </row>
    <row r="1231" spans="1:15" x14ac:dyDescent="0.25">
      <c r="A1231" s="2"/>
      <c r="B1231" s="3"/>
      <c r="C1231" s="3"/>
      <c r="D1231" s="15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3"/>
    </row>
    <row r="1232" spans="1:15" x14ac:dyDescent="0.25">
      <c r="A1232" s="2"/>
      <c r="B1232" s="3"/>
      <c r="C1232" s="3"/>
      <c r="D1232" s="15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3"/>
    </row>
    <row r="1233" spans="1:15" x14ac:dyDescent="0.25">
      <c r="A1233" s="2"/>
      <c r="B1233" s="3"/>
      <c r="C1233" s="3"/>
      <c r="D1233" s="15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3"/>
    </row>
    <row r="1234" spans="1:15" x14ac:dyDescent="0.25">
      <c r="A1234" s="2"/>
      <c r="B1234" s="3"/>
      <c r="C1234" s="3"/>
      <c r="D1234" s="15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3"/>
    </row>
    <row r="1235" spans="1:15" x14ac:dyDescent="0.25">
      <c r="A1235" s="2"/>
      <c r="B1235" s="3"/>
      <c r="C1235" s="3"/>
      <c r="D1235" s="15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3"/>
    </row>
    <row r="1236" spans="1:15" x14ac:dyDescent="0.25">
      <c r="A1236" s="2"/>
      <c r="B1236" s="3"/>
      <c r="C1236" s="3"/>
      <c r="D1236" s="15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3"/>
    </row>
    <row r="1237" spans="1:15" x14ac:dyDescent="0.25">
      <c r="A1237" s="2"/>
      <c r="B1237" s="3"/>
      <c r="C1237" s="3"/>
      <c r="D1237" s="15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3"/>
    </row>
    <row r="1238" spans="1:15" x14ac:dyDescent="0.25">
      <c r="A1238" s="2"/>
      <c r="B1238" s="3"/>
      <c r="C1238" s="3"/>
      <c r="D1238" s="15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3"/>
    </row>
    <row r="1239" spans="1:15" x14ac:dyDescent="0.25">
      <c r="A1239" s="2"/>
      <c r="B1239" s="3"/>
      <c r="C1239" s="3"/>
      <c r="D1239" s="15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3"/>
    </row>
    <row r="1240" spans="1:15" x14ac:dyDescent="0.25">
      <c r="A1240" s="2"/>
      <c r="B1240" s="3"/>
      <c r="C1240" s="3"/>
      <c r="D1240" s="15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3"/>
    </row>
    <row r="1241" spans="1:15" x14ac:dyDescent="0.25">
      <c r="A1241" s="2"/>
      <c r="B1241" s="3"/>
      <c r="C1241" s="3"/>
      <c r="D1241" s="15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3"/>
    </row>
    <row r="1242" spans="1:15" x14ac:dyDescent="0.25">
      <c r="A1242" s="2"/>
      <c r="B1242" s="3"/>
      <c r="C1242" s="3"/>
      <c r="D1242" s="15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3"/>
    </row>
    <row r="1243" spans="1:15" x14ac:dyDescent="0.25">
      <c r="A1243" s="2"/>
      <c r="B1243" s="3"/>
      <c r="C1243" s="3"/>
      <c r="D1243" s="15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3"/>
    </row>
    <row r="1244" spans="1:15" x14ac:dyDescent="0.25">
      <c r="A1244" s="2"/>
      <c r="B1244" s="3"/>
      <c r="C1244" s="3"/>
      <c r="D1244" s="15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3"/>
    </row>
    <row r="1245" spans="1:15" x14ac:dyDescent="0.25">
      <c r="A1245" s="2"/>
      <c r="B1245" s="3"/>
      <c r="C1245" s="3"/>
      <c r="D1245" s="15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3"/>
    </row>
    <row r="1246" spans="1:15" x14ac:dyDescent="0.25">
      <c r="A1246" s="2"/>
      <c r="B1246" s="3"/>
      <c r="C1246" s="3"/>
      <c r="D1246" s="15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3"/>
    </row>
    <row r="1247" spans="1:15" x14ac:dyDescent="0.25">
      <c r="A1247" s="2"/>
      <c r="B1247" s="3"/>
      <c r="C1247" s="3"/>
      <c r="D1247" s="15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3"/>
    </row>
    <row r="1248" spans="1:15" x14ac:dyDescent="0.25">
      <c r="A1248" s="2"/>
      <c r="B1248" s="3"/>
      <c r="C1248" s="3"/>
      <c r="D1248" s="15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3"/>
    </row>
    <row r="1249" spans="1:15" x14ac:dyDescent="0.25">
      <c r="A1249" s="2"/>
      <c r="B1249" s="3"/>
      <c r="C1249" s="3"/>
      <c r="D1249" s="15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3"/>
    </row>
    <row r="1250" spans="1:15" x14ac:dyDescent="0.25">
      <c r="A1250" s="2"/>
      <c r="B1250" s="3"/>
      <c r="C1250" s="3"/>
      <c r="D1250" s="15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3"/>
    </row>
    <row r="1251" spans="1:15" x14ac:dyDescent="0.25">
      <c r="A1251" s="2"/>
      <c r="B1251" s="3"/>
      <c r="C1251" s="3"/>
      <c r="D1251" s="15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3"/>
    </row>
    <row r="1252" spans="1:15" x14ac:dyDescent="0.25">
      <c r="A1252" s="2"/>
      <c r="B1252" s="3"/>
      <c r="C1252" s="3"/>
      <c r="D1252" s="15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3"/>
    </row>
    <row r="1253" spans="1:15" x14ac:dyDescent="0.25">
      <c r="A1253" s="2"/>
      <c r="B1253" s="3"/>
      <c r="C1253" s="3"/>
      <c r="D1253" s="15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3"/>
    </row>
    <row r="1254" spans="1:15" x14ac:dyDescent="0.25">
      <c r="A1254" s="2"/>
      <c r="B1254" s="3"/>
      <c r="C1254" s="3"/>
      <c r="D1254" s="15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3"/>
    </row>
    <row r="1255" spans="1:15" x14ac:dyDescent="0.25">
      <c r="A1255" s="2"/>
      <c r="B1255" s="3"/>
      <c r="C1255" s="3"/>
      <c r="D1255" s="15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3"/>
    </row>
    <row r="1256" spans="1:15" x14ac:dyDescent="0.25">
      <c r="A1256" s="2"/>
      <c r="B1256" s="3"/>
      <c r="C1256" s="3"/>
      <c r="D1256" s="15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3"/>
    </row>
    <row r="1257" spans="1:15" x14ac:dyDescent="0.25">
      <c r="A1257" s="2"/>
      <c r="B1257" s="3"/>
      <c r="C1257" s="3"/>
      <c r="D1257" s="15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3"/>
    </row>
    <row r="1258" spans="1:15" x14ac:dyDescent="0.25">
      <c r="A1258" s="2"/>
      <c r="B1258" s="3"/>
      <c r="C1258" s="3"/>
      <c r="D1258" s="15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3"/>
    </row>
    <row r="1259" spans="1:15" x14ac:dyDescent="0.25">
      <c r="A1259" s="2"/>
      <c r="B1259" s="3"/>
      <c r="C1259" s="3"/>
      <c r="D1259" s="15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3"/>
    </row>
    <row r="1260" spans="1:15" x14ac:dyDescent="0.25">
      <c r="A1260" s="2"/>
      <c r="B1260" s="3"/>
      <c r="C1260" s="3"/>
      <c r="D1260" s="15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3"/>
    </row>
    <row r="1261" spans="1:15" x14ac:dyDescent="0.25">
      <c r="A1261" s="2"/>
      <c r="B1261" s="3"/>
      <c r="C1261" s="3"/>
      <c r="D1261" s="15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3"/>
    </row>
    <row r="1262" spans="1:15" x14ac:dyDescent="0.25">
      <c r="A1262" s="2"/>
      <c r="B1262" s="3"/>
      <c r="C1262" s="3"/>
      <c r="D1262" s="15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3"/>
    </row>
    <row r="1263" spans="1:15" x14ac:dyDescent="0.25">
      <c r="A1263" s="2"/>
      <c r="B1263" s="3"/>
      <c r="C1263" s="3"/>
      <c r="D1263" s="15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3"/>
    </row>
    <row r="1264" spans="1:15" x14ac:dyDescent="0.25">
      <c r="A1264" s="2"/>
      <c r="B1264" s="3"/>
      <c r="C1264" s="3"/>
      <c r="D1264" s="15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3"/>
    </row>
    <row r="1265" spans="1:15" x14ac:dyDescent="0.25">
      <c r="A1265" s="2"/>
      <c r="B1265" s="3"/>
      <c r="C1265" s="3"/>
      <c r="D1265" s="15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3"/>
    </row>
    <row r="1266" spans="1:15" x14ac:dyDescent="0.25">
      <c r="A1266" s="2"/>
      <c r="B1266" s="3"/>
      <c r="C1266" s="3"/>
      <c r="D1266" s="15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3"/>
    </row>
    <row r="1267" spans="1:15" x14ac:dyDescent="0.25">
      <c r="A1267" s="2"/>
      <c r="B1267" s="3"/>
      <c r="C1267" s="3"/>
      <c r="D1267" s="15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3"/>
    </row>
    <row r="1268" spans="1:15" x14ac:dyDescent="0.25">
      <c r="A1268" s="2"/>
      <c r="B1268" s="3"/>
      <c r="C1268" s="3"/>
      <c r="D1268" s="15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3"/>
    </row>
    <row r="1269" spans="1:15" x14ac:dyDescent="0.25">
      <c r="A1269" s="2"/>
      <c r="B1269" s="3"/>
      <c r="C1269" s="3"/>
      <c r="D1269" s="15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3"/>
    </row>
    <row r="1270" spans="1:15" x14ac:dyDescent="0.25">
      <c r="A1270" s="2"/>
      <c r="B1270" s="3"/>
      <c r="C1270" s="3"/>
      <c r="D1270" s="15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3"/>
    </row>
    <row r="1271" spans="1:15" x14ac:dyDescent="0.25">
      <c r="A1271" s="2"/>
      <c r="B1271" s="3"/>
      <c r="C1271" s="3"/>
      <c r="D1271" s="15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3"/>
    </row>
    <row r="1272" spans="1:15" x14ac:dyDescent="0.25">
      <c r="A1272" s="2"/>
      <c r="B1272" s="3"/>
      <c r="C1272" s="3"/>
      <c r="D1272" s="15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3"/>
    </row>
    <row r="1273" spans="1:15" x14ac:dyDescent="0.25">
      <c r="A1273" s="2"/>
      <c r="B1273" s="3"/>
      <c r="C1273" s="3"/>
      <c r="D1273" s="15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3"/>
    </row>
    <row r="1274" spans="1:15" x14ac:dyDescent="0.25">
      <c r="A1274" s="2"/>
      <c r="B1274" s="3"/>
      <c r="C1274" s="3"/>
      <c r="D1274" s="15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3"/>
    </row>
    <row r="1275" spans="1:15" x14ac:dyDescent="0.25">
      <c r="A1275" s="2"/>
      <c r="B1275" s="3"/>
      <c r="C1275" s="3"/>
      <c r="D1275" s="15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3"/>
    </row>
    <row r="1276" spans="1:15" x14ac:dyDescent="0.25">
      <c r="A1276" s="2"/>
      <c r="B1276" s="3"/>
      <c r="C1276" s="3"/>
      <c r="D1276" s="15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3"/>
    </row>
    <row r="1277" spans="1:15" x14ac:dyDescent="0.25">
      <c r="A1277" s="2"/>
      <c r="B1277" s="3"/>
      <c r="C1277" s="3"/>
      <c r="D1277" s="15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3"/>
    </row>
    <row r="1278" spans="1:15" x14ac:dyDescent="0.25">
      <c r="A1278" s="2"/>
      <c r="B1278" s="3"/>
      <c r="C1278" s="3"/>
      <c r="D1278" s="15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3"/>
    </row>
    <row r="1279" spans="1:15" x14ac:dyDescent="0.25">
      <c r="A1279" s="2"/>
      <c r="B1279" s="3"/>
      <c r="C1279" s="3"/>
      <c r="D1279" s="15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3"/>
    </row>
    <row r="1280" spans="1:15" x14ac:dyDescent="0.25">
      <c r="A1280" s="2"/>
      <c r="B1280" s="3"/>
      <c r="C1280" s="3"/>
      <c r="D1280" s="15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3"/>
    </row>
    <row r="1281" spans="1:15" x14ac:dyDescent="0.25">
      <c r="A1281" s="2"/>
      <c r="B1281" s="3"/>
      <c r="C1281" s="3"/>
      <c r="D1281" s="15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3"/>
    </row>
    <row r="1282" spans="1:15" x14ac:dyDescent="0.25">
      <c r="A1282" s="2"/>
      <c r="B1282" s="3"/>
      <c r="C1282" s="3"/>
      <c r="D1282" s="15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3"/>
    </row>
    <row r="1283" spans="1:15" x14ac:dyDescent="0.25">
      <c r="A1283" s="2"/>
      <c r="B1283" s="3"/>
      <c r="C1283" s="3"/>
      <c r="D1283" s="15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3"/>
    </row>
    <row r="1284" spans="1:15" x14ac:dyDescent="0.25">
      <c r="A1284" s="2"/>
      <c r="B1284" s="3"/>
      <c r="C1284" s="3"/>
      <c r="D1284" s="15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3"/>
    </row>
    <row r="1285" spans="1:15" x14ac:dyDescent="0.25">
      <c r="A1285" s="2"/>
      <c r="B1285" s="3"/>
      <c r="C1285" s="3"/>
      <c r="D1285" s="15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3"/>
    </row>
    <row r="1286" spans="1:15" x14ac:dyDescent="0.25">
      <c r="A1286" s="2"/>
      <c r="B1286" s="3"/>
      <c r="C1286" s="3"/>
      <c r="D1286" s="15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3"/>
    </row>
    <row r="1287" spans="1:15" x14ac:dyDescent="0.25">
      <c r="A1287" s="2"/>
      <c r="B1287" s="3"/>
      <c r="C1287" s="3"/>
      <c r="D1287" s="15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3"/>
    </row>
    <row r="1288" spans="1:15" x14ac:dyDescent="0.25">
      <c r="A1288" s="2"/>
      <c r="B1288" s="3"/>
      <c r="C1288" s="3"/>
      <c r="D1288" s="15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3"/>
    </row>
    <row r="1289" spans="1:15" x14ac:dyDescent="0.25">
      <c r="A1289" s="2"/>
      <c r="B1289" s="3"/>
      <c r="C1289" s="3"/>
      <c r="D1289" s="15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3"/>
    </row>
    <row r="1290" spans="1:15" x14ac:dyDescent="0.25">
      <c r="A1290" s="2"/>
      <c r="B1290" s="3"/>
      <c r="C1290" s="3"/>
      <c r="D1290" s="15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3"/>
    </row>
    <row r="1291" spans="1:15" x14ac:dyDescent="0.25">
      <c r="A1291" s="2"/>
      <c r="B1291" s="3"/>
      <c r="C1291" s="3"/>
      <c r="D1291" s="15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3"/>
    </row>
    <row r="1292" spans="1:15" x14ac:dyDescent="0.25">
      <c r="A1292" s="2"/>
      <c r="B1292" s="3"/>
      <c r="C1292" s="3"/>
      <c r="D1292" s="15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3"/>
    </row>
    <row r="1293" spans="1:15" x14ac:dyDescent="0.25">
      <c r="A1293" s="2"/>
      <c r="B1293" s="3"/>
      <c r="C1293" s="3"/>
      <c r="D1293" s="15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3"/>
    </row>
    <row r="1294" spans="1:15" x14ac:dyDescent="0.25">
      <c r="A1294" s="2"/>
      <c r="B1294" s="3"/>
      <c r="C1294" s="3"/>
      <c r="D1294" s="15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3"/>
    </row>
    <row r="1295" spans="1:15" x14ac:dyDescent="0.25">
      <c r="A1295" s="2"/>
      <c r="B1295" s="3"/>
      <c r="C1295" s="3"/>
      <c r="D1295" s="15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3"/>
    </row>
    <row r="1296" spans="1:15" x14ac:dyDescent="0.25">
      <c r="A1296" s="2"/>
      <c r="B1296" s="3"/>
      <c r="C1296" s="3"/>
      <c r="D1296" s="15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3"/>
    </row>
    <row r="1297" spans="1:15" x14ac:dyDescent="0.25">
      <c r="A1297" s="2"/>
      <c r="B1297" s="3"/>
      <c r="C1297" s="3"/>
      <c r="D1297" s="15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3"/>
    </row>
    <row r="1298" spans="1:15" x14ac:dyDescent="0.25">
      <c r="A1298" s="2"/>
      <c r="B1298" s="3"/>
      <c r="C1298" s="3"/>
      <c r="D1298" s="15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3"/>
    </row>
    <row r="1299" spans="1:15" x14ac:dyDescent="0.25">
      <c r="M1299"/>
      <c r="O1299" s="1"/>
    </row>
    <row r="1300" spans="1:15" x14ac:dyDescent="0.25">
      <c r="M1300"/>
      <c r="O1300" s="1"/>
    </row>
    <row r="1301" spans="1:15" x14ac:dyDescent="0.25">
      <c r="M1301"/>
      <c r="O1301" s="1"/>
    </row>
    <row r="1302" spans="1:15" x14ac:dyDescent="0.25">
      <c r="M1302"/>
      <c r="O1302" s="1"/>
    </row>
    <row r="1303" spans="1:15" x14ac:dyDescent="0.25">
      <c r="M1303"/>
      <c r="O1303" s="1"/>
    </row>
    <row r="1304" spans="1:15" x14ac:dyDescent="0.25">
      <c r="M1304"/>
      <c r="O1304" s="1"/>
    </row>
    <row r="1305" spans="1:15" x14ac:dyDescent="0.25">
      <c r="M1305"/>
      <c r="O1305" s="1"/>
    </row>
    <row r="1306" spans="1:15" x14ac:dyDescent="0.25">
      <c r="M1306"/>
      <c r="O1306" s="1"/>
    </row>
    <row r="1307" spans="1:15" x14ac:dyDescent="0.25">
      <c r="M1307"/>
      <c r="O1307" s="1"/>
    </row>
    <row r="1308" spans="1:15" x14ac:dyDescent="0.25">
      <c r="M1308"/>
      <c r="O1308" s="1"/>
    </row>
    <row r="1309" spans="1:15" x14ac:dyDescent="0.25">
      <c r="M1309"/>
      <c r="O1309" s="1"/>
    </row>
    <row r="1310" spans="1:15" x14ac:dyDescent="0.25">
      <c r="M1310"/>
      <c r="O1310" s="1"/>
    </row>
    <row r="1311" spans="1:15" x14ac:dyDescent="0.25">
      <c r="M1311"/>
      <c r="O1311" s="1"/>
    </row>
    <row r="1312" spans="1:15" x14ac:dyDescent="0.25">
      <c r="M1312"/>
      <c r="O1312" s="1"/>
    </row>
  </sheetData>
  <sortState xmlns:xlrd2="http://schemas.microsoft.com/office/spreadsheetml/2017/richdata2" ref="A6:O371">
    <sortCondition ref="A6:A371"/>
  </sortState>
  <dataConsolidate link="1"/>
  <phoneticPr fontId="1" type="noConversion"/>
  <conditionalFormatting sqref="A6">
    <cfRule type="expression" dxfId="72" priority="1">
      <formula>$M$6&gt;8000&lt;19061</formula>
    </cfRule>
  </conditionalFormatting>
  <conditionalFormatting sqref="M5:M375">
    <cfRule type="containsText" dxfId="71" priority="4" operator="containsText" text="Sucata">
      <formula>NOT(ISERROR(SEARCH("Sucata",M5)))</formula>
    </cfRule>
    <cfRule type="cellIs" dxfId="70" priority="5" operator="between">
      <formula>8000</formula>
      <formula>19060</formula>
    </cfRule>
  </conditionalFormatting>
  <dataValidations count="6">
    <dataValidation type="list" allowBlank="1" showInputMessage="1" showErrorMessage="1" sqref="B2 B371:B373" xr:uid="{A3A61F8C-66B0-4DBD-95FF-0195401314EE}">
      <formula1>"Goodyear,Pirelli,Michelin,Bridgestone,FateCargo"</formula1>
    </dataValidation>
    <dataValidation type="list" allowBlank="1" showInputMessage="1" showErrorMessage="1" sqref="C2 C371:C373" xr:uid="{A8655C63-4F40-457F-9980-9BE9896D76B2}">
      <formula1>"G665,MC01,FR01,R163,SR-260,X-incity"</formula1>
    </dataValidation>
    <dataValidation type="list" allowBlank="1" showInputMessage="1" showErrorMessage="1" sqref="H2 K2" xr:uid="{C3A11A87-1737-4E42-91F4-624A1A14FE70}">
      <formula1>"DVR-M,VL-110L,G665,DV-UM,BusPlus,X-Incity"</formula1>
    </dataValidation>
    <dataValidation type="list" allowBlank="1" showInputMessage="1" showErrorMessage="1" sqref="I2 I6:I600 F6:F600 L6:L600" xr:uid="{CE1759C5-5954-403D-B3E6-05FDAF04EE93}">
      <formula1>"Liso,Infiltração,Corte na banda,Corte lateral,Furado,s/ dados,Desg. Irregular"</formula1>
    </dataValidation>
    <dataValidation type="list" allowBlank="1" showInputMessage="1" showErrorMessage="1" sqref="F2" xr:uid="{2D58B1B7-E95A-4561-B260-63DB5E9C0D3D}">
      <formula1>"Liso,Infiltração,Corte na banda,Corte lateral,Furado,s/ dados,Desg. Irregular"</formula1>
    </dataValidation>
    <dataValidation type="list" allowBlank="1" showInputMessage="1" showErrorMessage="1" sqref="L2" xr:uid="{DFE991AC-CBDB-4608-9E52-7F1D0656305C}">
      <formula1>"Liso,Infiltração,Corte na banda,Corte lateral,Furado,s/ dados,Desg. Irregular"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ltrar">
                <anchor moveWithCells="1" sizeWithCells="1">
                  <from>
                    <xdr:col>1</xdr:col>
                    <xdr:colOff>733425</xdr:colOff>
                    <xdr:row>2</xdr:row>
                    <xdr:rowOff>104775</xdr:rowOff>
                  </from>
                  <to>
                    <xdr:col>3</xdr:col>
                    <xdr:colOff>485775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imparFiltro">
                <anchor moveWithCells="1" sizeWithCells="1">
                  <from>
                    <xdr:col>3</xdr:col>
                    <xdr:colOff>571500</xdr:colOff>
                    <xdr:row>2</xdr:row>
                    <xdr:rowOff>95250</xdr:rowOff>
                  </from>
                  <to>
                    <xdr:col>5</xdr:col>
                    <xdr:colOff>447675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adastrarPneu">
                <anchor moveWithCells="1" sizeWithCells="1">
                  <from>
                    <xdr:col>5</xdr:col>
                    <xdr:colOff>552450</xdr:colOff>
                    <xdr:row>2</xdr:row>
                    <xdr:rowOff>85725</xdr:rowOff>
                  </from>
                  <to>
                    <xdr:col>7</xdr:col>
                    <xdr:colOff>619125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AtualizarDados">
                <anchor moveWithCells="1" sizeWithCells="1">
                  <from>
                    <xdr:col>8</xdr:col>
                    <xdr:colOff>28575</xdr:colOff>
                    <xdr:row>2</xdr:row>
                    <xdr:rowOff>76200</xdr:rowOff>
                  </from>
                  <to>
                    <xdr:col>9</xdr:col>
                    <xdr:colOff>114300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27DE0-7E06-4CA8-8FEE-D65160C67F89}">
  <sheetPr codeName="Dashboard"/>
  <dimension ref="A1:BD23"/>
  <sheetViews>
    <sheetView showGridLines="0" workbookViewId="0">
      <selection activeCell="AO3" sqref="AO1:BD1048576"/>
    </sheetView>
  </sheetViews>
  <sheetFormatPr defaultRowHeight="15" x14ac:dyDescent="0.25"/>
  <cols>
    <col min="1" max="1" width="9.140625" customWidth="1"/>
    <col min="2" max="2" width="15.140625" hidden="1" customWidth="1"/>
    <col min="3" max="3" width="10" hidden="1" customWidth="1"/>
    <col min="4" max="4" width="11.42578125" hidden="1" customWidth="1"/>
    <col min="5" max="5" width="6" hidden="1" customWidth="1"/>
    <col min="6" max="6" width="7" hidden="1" customWidth="1"/>
    <col min="7" max="7" width="6" hidden="1" customWidth="1"/>
    <col min="8" max="8" width="6.85546875" hidden="1" customWidth="1"/>
    <col min="9" max="9" width="7.7109375" hidden="1" customWidth="1"/>
    <col min="10" max="10" width="8.28515625" hidden="1" customWidth="1"/>
    <col min="11" max="11" width="5.5703125" hidden="1" customWidth="1"/>
    <col min="12" max="14" width="9.140625" hidden="1" customWidth="1"/>
    <col min="15" max="16" width="5" hidden="1" customWidth="1"/>
    <col min="17" max="17" width="5.28515625" hidden="1" customWidth="1"/>
    <col min="18" max="20" width="9.140625" hidden="1" customWidth="1"/>
    <col min="21" max="21" width="9.140625" customWidth="1"/>
    <col min="22" max="22" width="14" hidden="1" customWidth="1"/>
    <col min="23" max="24" width="11.42578125" hidden="1" customWidth="1"/>
    <col min="25" max="27" width="9.140625" hidden="1" customWidth="1"/>
    <col min="28" max="28" width="6.7109375" hidden="1" customWidth="1"/>
    <col min="29" max="29" width="7.28515625" hidden="1" customWidth="1"/>
    <col min="30" max="30" width="9.140625" hidden="1" customWidth="1"/>
    <col min="31" max="31" width="6.5703125" hidden="1" customWidth="1"/>
    <col min="32" max="38" width="9.140625" hidden="1" customWidth="1"/>
    <col min="39" max="39" width="2.28515625" hidden="1" customWidth="1"/>
    <col min="40" max="40" width="9.140625" customWidth="1"/>
    <col min="41" max="41" width="12" hidden="1" customWidth="1"/>
    <col min="42" max="43" width="11.42578125" hidden="1" customWidth="1"/>
    <col min="44" max="46" width="9.140625" hidden="1" customWidth="1"/>
    <col min="47" max="47" width="18" hidden="1" customWidth="1"/>
    <col min="48" max="49" width="12" hidden="1" customWidth="1"/>
    <col min="50" max="55" width="9.140625" hidden="1" customWidth="1"/>
    <col min="56" max="56" width="0.140625" hidden="1" customWidth="1"/>
  </cols>
  <sheetData>
    <row r="1" spans="1:56" ht="15" customHeight="1" x14ac:dyDescent="0.25">
      <c r="A1" s="84" t="s">
        <v>62</v>
      </c>
      <c r="B1" s="82" t="s">
        <v>61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4" t="s">
        <v>63</v>
      </c>
      <c r="V1" s="87" t="s">
        <v>64</v>
      </c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8"/>
      <c r="AN1" s="91" t="s">
        <v>65</v>
      </c>
      <c r="AO1" s="76" t="s">
        <v>66</v>
      </c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8"/>
    </row>
    <row r="2" spans="1:56" ht="9.75" customHeight="1" thickBot="1" x14ac:dyDescent="0.3">
      <c r="A2" s="85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5"/>
      <c r="V2" s="89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90"/>
      <c r="AN2" s="92"/>
      <c r="AO2" s="79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1"/>
    </row>
    <row r="3" spans="1:56" ht="15.75" thickBot="1" x14ac:dyDescent="0.3">
      <c r="A3" s="85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85"/>
      <c r="V3" s="20"/>
      <c r="W3" s="20"/>
      <c r="X3" s="20"/>
      <c r="AN3" s="85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</row>
    <row r="4" spans="1:56" ht="15.75" thickBot="1" x14ac:dyDescent="0.3">
      <c r="A4" s="85"/>
      <c r="B4" s="19" t="s">
        <v>57</v>
      </c>
      <c r="C4" s="33" t="s">
        <v>29</v>
      </c>
      <c r="D4" s="20"/>
      <c r="E4" s="20"/>
      <c r="U4" s="85"/>
      <c r="V4" s="20"/>
      <c r="W4" s="20"/>
      <c r="X4" s="20"/>
      <c r="AN4" s="85"/>
      <c r="AO4" s="19" t="s">
        <v>57</v>
      </c>
      <c r="AP4" s="33" t="s">
        <v>29</v>
      </c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</row>
    <row r="5" spans="1:56" ht="15.75" thickBot="1" x14ac:dyDescent="0.3">
      <c r="A5" s="85"/>
      <c r="B5" s="20"/>
      <c r="C5" s="20"/>
      <c r="D5" s="20"/>
      <c r="E5" s="20"/>
      <c r="U5" s="85"/>
      <c r="V5" s="19" t="s">
        <v>57</v>
      </c>
      <c r="W5" s="33" t="s">
        <v>29</v>
      </c>
      <c r="X5" s="20"/>
      <c r="AN5" s="85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</row>
    <row r="6" spans="1:56" ht="15.75" thickBot="1" x14ac:dyDescent="0.3">
      <c r="A6" s="85"/>
      <c r="B6" s="47" t="s">
        <v>55</v>
      </c>
      <c r="C6" s="50" t="s">
        <v>60</v>
      </c>
      <c r="D6" s="33" t="s">
        <v>59</v>
      </c>
      <c r="E6" s="20"/>
      <c r="U6" s="85"/>
      <c r="V6" s="20"/>
      <c r="W6" s="20"/>
      <c r="X6" s="20"/>
      <c r="AN6" s="85"/>
      <c r="AO6" s="32" t="s">
        <v>55</v>
      </c>
      <c r="AP6" s="43" t="s">
        <v>60</v>
      </c>
      <c r="AQ6" s="33" t="s">
        <v>59</v>
      </c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</row>
    <row r="7" spans="1:56" ht="15.75" thickBot="1" x14ac:dyDescent="0.3">
      <c r="A7" s="85"/>
      <c r="B7" s="48" t="s">
        <v>15</v>
      </c>
      <c r="C7" s="46">
        <v>98042.181818181823</v>
      </c>
      <c r="D7" s="34">
        <v>11</v>
      </c>
      <c r="E7" s="20"/>
      <c r="U7" s="85"/>
      <c r="V7" s="32" t="s">
        <v>55</v>
      </c>
      <c r="W7" s="43" t="s">
        <v>60</v>
      </c>
      <c r="X7" s="33" t="s">
        <v>59</v>
      </c>
      <c r="AN7" s="93"/>
      <c r="AO7" s="27" t="s">
        <v>21</v>
      </c>
      <c r="AP7" s="36">
        <v>91873</v>
      </c>
      <c r="AQ7" s="34">
        <v>2</v>
      </c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</row>
    <row r="8" spans="1:56" x14ac:dyDescent="0.25">
      <c r="A8" s="85"/>
      <c r="B8" s="25" t="s">
        <v>10</v>
      </c>
      <c r="C8" s="44">
        <v>87634.473684210519</v>
      </c>
      <c r="D8" s="21">
        <v>19</v>
      </c>
      <c r="E8" s="20"/>
      <c r="U8" s="85"/>
      <c r="V8" s="27" t="s">
        <v>24</v>
      </c>
      <c r="W8" s="41">
        <v>101742.625</v>
      </c>
      <c r="X8" s="34">
        <v>8</v>
      </c>
      <c r="AN8" s="93"/>
      <c r="AO8" s="28" t="s">
        <v>49</v>
      </c>
      <c r="AP8" s="23">
        <v>62278.333333333336</v>
      </c>
      <c r="AQ8" s="21">
        <v>3</v>
      </c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</row>
    <row r="9" spans="1:56" x14ac:dyDescent="0.25">
      <c r="A9" s="85"/>
      <c r="B9" s="25" t="s">
        <v>6</v>
      </c>
      <c r="C9" s="44">
        <v>84970.769230769234</v>
      </c>
      <c r="D9" s="21">
        <v>39</v>
      </c>
      <c r="E9" s="20"/>
      <c r="U9" s="85"/>
      <c r="V9" s="28" t="s">
        <v>21</v>
      </c>
      <c r="W9" s="42">
        <v>84745.460317460311</v>
      </c>
      <c r="X9" s="21">
        <v>63</v>
      </c>
      <c r="AN9" s="93"/>
      <c r="AO9" s="28" t="s">
        <v>6</v>
      </c>
      <c r="AP9" s="23">
        <v>45948</v>
      </c>
      <c r="AQ9" s="21">
        <v>1</v>
      </c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</row>
    <row r="10" spans="1:56" ht="15.75" thickBot="1" x14ac:dyDescent="0.3">
      <c r="A10" s="85"/>
      <c r="B10" s="25" t="s">
        <v>9</v>
      </c>
      <c r="C10" s="44">
        <v>110106.13636363637</v>
      </c>
      <c r="D10" s="21">
        <v>66</v>
      </c>
      <c r="E10" s="20"/>
      <c r="U10" s="85"/>
      <c r="V10" s="28" t="s">
        <v>6</v>
      </c>
      <c r="W10" s="42">
        <v>84569.625</v>
      </c>
      <c r="X10" s="21">
        <v>16</v>
      </c>
      <c r="AN10" s="93"/>
      <c r="AO10" s="28" t="s">
        <v>22</v>
      </c>
      <c r="AP10" s="24">
        <v>50917.5</v>
      </c>
      <c r="AQ10" s="21">
        <v>20</v>
      </c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</row>
    <row r="11" spans="1:56" ht="15.75" thickBot="1" x14ac:dyDescent="0.3">
      <c r="A11" s="85"/>
      <c r="B11" s="25" t="s">
        <v>14</v>
      </c>
      <c r="C11" s="44">
        <v>88335</v>
      </c>
      <c r="D11" s="21">
        <v>5</v>
      </c>
      <c r="E11" s="20"/>
      <c r="U11" s="85"/>
      <c r="V11" s="28" t="s">
        <v>9</v>
      </c>
      <c r="W11" s="42">
        <v>119271</v>
      </c>
      <c r="X11" s="21">
        <v>1</v>
      </c>
      <c r="AN11" s="93"/>
      <c r="AO11" s="30" t="s">
        <v>56</v>
      </c>
      <c r="AP11" s="35">
        <v>55187.653846153844</v>
      </c>
      <c r="AQ11" s="94">
        <v>26</v>
      </c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</row>
    <row r="12" spans="1:56" ht="15.75" thickBot="1" x14ac:dyDescent="0.3">
      <c r="A12" s="85"/>
      <c r="B12" s="25" t="s">
        <v>17</v>
      </c>
      <c r="C12" s="44">
        <v>38504.333333333336</v>
      </c>
      <c r="D12" s="21">
        <v>6</v>
      </c>
      <c r="E12" s="20"/>
      <c r="U12" s="85"/>
      <c r="V12" s="29" t="s">
        <v>27</v>
      </c>
      <c r="W12" s="42">
        <v>117096.54166666667</v>
      </c>
      <c r="X12" s="21">
        <v>24</v>
      </c>
      <c r="AN12" s="85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</row>
    <row r="13" spans="1:56" ht="15.75" thickBot="1" x14ac:dyDescent="0.3">
      <c r="A13" s="85"/>
      <c r="B13" s="26" t="s">
        <v>12</v>
      </c>
      <c r="C13" s="44">
        <v>99205.936842105264</v>
      </c>
      <c r="D13" s="21">
        <v>95</v>
      </c>
      <c r="E13" s="20"/>
      <c r="U13" s="85"/>
      <c r="V13" s="30" t="s">
        <v>56</v>
      </c>
      <c r="W13" s="35">
        <v>93175.0625</v>
      </c>
      <c r="X13" s="94">
        <v>112</v>
      </c>
      <c r="AN13" s="85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</row>
    <row r="14" spans="1:56" ht="15.75" thickBot="1" x14ac:dyDescent="0.3">
      <c r="A14" s="85"/>
      <c r="B14" s="49" t="s">
        <v>56</v>
      </c>
      <c r="C14" s="45">
        <v>97185.265560165979</v>
      </c>
      <c r="D14" s="22">
        <v>241</v>
      </c>
      <c r="E14" s="20"/>
      <c r="U14" s="85"/>
      <c r="V14" s="20"/>
      <c r="W14" s="20"/>
      <c r="X14" s="20"/>
      <c r="AN14" s="85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</row>
    <row r="15" spans="1:56" ht="15.75" thickBot="1" x14ac:dyDescent="0.3">
      <c r="A15" s="85"/>
      <c r="B15" s="20"/>
      <c r="C15" s="20"/>
      <c r="D15" s="20"/>
      <c r="E15" s="20"/>
      <c r="U15" s="85"/>
      <c r="V15" s="20"/>
      <c r="W15" s="20"/>
      <c r="X15" s="20"/>
      <c r="AN15" s="85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</row>
    <row r="16" spans="1:56" ht="15.75" thickBot="1" x14ac:dyDescent="0.3">
      <c r="A16" s="85"/>
      <c r="B16" s="32" t="s">
        <v>58</v>
      </c>
      <c r="C16" s="31" t="s">
        <v>59</v>
      </c>
      <c r="D16" s="20"/>
      <c r="E16" s="20"/>
      <c r="U16" s="85"/>
      <c r="V16" s="32" t="s">
        <v>58</v>
      </c>
      <c r="W16" s="31" t="s">
        <v>59</v>
      </c>
      <c r="X16" s="20"/>
      <c r="AN16" s="85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</row>
    <row r="17" spans="1:56" ht="15.75" thickBot="1" x14ac:dyDescent="0.3">
      <c r="A17" s="85"/>
      <c r="B17" s="27" t="s">
        <v>52</v>
      </c>
      <c r="C17" s="95">
        <v>1</v>
      </c>
      <c r="D17" s="20"/>
      <c r="E17" s="20"/>
      <c r="U17" s="85"/>
      <c r="V17" s="27" t="s">
        <v>28</v>
      </c>
      <c r="W17" s="95">
        <v>22</v>
      </c>
      <c r="X17" s="20"/>
      <c r="AN17" s="85"/>
      <c r="AO17" s="32" t="s">
        <v>55</v>
      </c>
      <c r="AP17" s="31" t="s">
        <v>59</v>
      </c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</row>
    <row r="18" spans="1:56" x14ac:dyDescent="0.25">
      <c r="A18" s="85"/>
      <c r="B18" s="28" t="s">
        <v>50</v>
      </c>
      <c r="C18" s="96">
        <v>11</v>
      </c>
      <c r="D18" s="20"/>
      <c r="E18" s="20"/>
      <c r="U18" s="85"/>
      <c r="V18" s="28" t="s">
        <v>25</v>
      </c>
      <c r="W18" s="96">
        <v>1</v>
      </c>
      <c r="X18" s="20"/>
      <c r="AN18" s="85"/>
      <c r="AO18" s="27" t="s">
        <v>35</v>
      </c>
      <c r="AP18" s="95">
        <v>4</v>
      </c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</row>
    <row r="19" spans="1:56" x14ac:dyDescent="0.25">
      <c r="A19" s="85"/>
      <c r="B19" s="28" t="s">
        <v>28</v>
      </c>
      <c r="C19" s="96">
        <v>26</v>
      </c>
      <c r="D19" s="20"/>
      <c r="E19" s="20"/>
      <c r="U19" s="85"/>
      <c r="V19" s="28" t="s">
        <v>23</v>
      </c>
      <c r="W19" s="96">
        <v>28</v>
      </c>
      <c r="X19" s="20"/>
      <c r="AN19" s="85"/>
      <c r="AO19" s="28" t="s">
        <v>28</v>
      </c>
      <c r="AP19" s="96">
        <v>6</v>
      </c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</row>
    <row r="20" spans="1:56" x14ac:dyDescent="0.25">
      <c r="A20" s="85"/>
      <c r="B20" s="28" t="s">
        <v>23</v>
      </c>
      <c r="C20" s="96">
        <v>4</v>
      </c>
      <c r="D20" s="20"/>
      <c r="E20" s="20"/>
      <c r="U20" s="85"/>
      <c r="V20" s="28" t="s">
        <v>29</v>
      </c>
      <c r="W20" s="96">
        <v>112</v>
      </c>
      <c r="X20" s="20"/>
      <c r="AN20" s="85"/>
      <c r="AO20" s="28" t="s">
        <v>23</v>
      </c>
      <c r="AP20" s="96">
        <v>28</v>
      </c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</row>
    <row r="21" spans="1:56" ht="15.75" thickBot="1" x14ac:dyDescent="0.3">
      <c r="A21" s="85"/>
      <c r="B21" s="29" t="s">
        <v>29</v>
      </c>
      <c r="C21" s="96">
        <v>241</v>
      </c>
      <c r="D21" s="20"/>
      <c r="E21" s="20"/>
      <c r="U21" s="85"/>
      <c r="V21" s="29" t="s">
        <v>50</v>
      </c>
      <c r="W21" s="96">
        <v>1</v>
      </c>
      <c r="X21" s="20"/>
      <c r="AN21" s="85"/>
      <c r="AO21" s="29" t="s">
        <v>29</v>
      </c>
      <c r="AP21" s="96">
        <v>26</v>
      </c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</row>
    <row r="22" spans="1:56" ht="15.75" thickBot="1" x14ac:dyDescent="0.3">
      <c r="A22" s="85"/>
      <c r="B22" s="30" t="s">
        <v>56</v>
      </c>
      <c r="C22" s="97">
        <v>283</v>
      </c>
      <c r="D22" s="20"/>
      <c r="E22" s="20"/>
      <c r="U22" s="85"/>
      <c r="V22" s="30" t="s">
        <v>56</v>
      </c>
      <c r="W22" s="97">
        <v>164</v>
      </c>
      <c r="X22" s="20"/>
      <c r="AN22" s="85"/>
      <c r="AO22" s="30" t="s">
        <v>56</v>
      </c>
      <c r="AP22" s="97">
        <v>64</v>
      </c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</row>
    <row r="23" spans="1:56" ht="15.75" thickBot="1" x14ac:dyDescent="0.3">
      <c r="A23" s="86"/>
      <c r="B23" s="20"/>
      <c r="C23" s="20"/>
      <c r="D23" s="20"/>
      <c r="E23" s="20"/>
      <c r="U23" s="86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86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</row>
  </sheetData>
  <mergeCells count="6">
    <mergeCell ref="AO1:BD2"/>
    <mergeCell ref="B1:T2"/>
    <mergeCell ref="A1:A23"/>
    <mergeCell ref="U1:U23"/>
    <mergeCell ref="V1:AM2"/>
    <mergeCell ref="AN1:AN23"/>
  </mergeCells>
  <pageMargins left="0.511811024" right="0.511811024" top="0.78740157499999996" bottom="0.78740157499999996" header="0.31496062000000002" footer="0.31496062000000002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0" name="Button 1">
              <controlPr defaultSize="0" print="0" autoFill="0" autoPict="0" macro="[0]!AbaPrimeiraVida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0</xdr:col>
                    <xdr:colOff>533400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11" name="Button 2">
              <controlPr defaultSize="0" print="0" autoFill="0" autoPict="0" macro="[0]!AbrirAbaPrimeiraRessolagem">
                <anchor moveWithCells="1" sizeWithCells="1">
                  <from>
                    <xdr:col>20</xdr:col>
                    <xdr:colOff>142875</xdr:colOff>
                    <xdr:row>0</xdr:row>
                    <xdr:rowOff>66675</xdr:rowOff>
                  </from>
                  <to>
                    <xdr:col>20</xdr:col>
                    <xdr:colOff>542925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12" name="Button 3">
              <controlPr defaultSize="0" print="0" autoFill="0" autoPict="0" macro="[0]!AbrirAbaSegundaRessolagem">
                <anchor moveWithCells="1" sizeWithCells="1">
                  <from>
                    <xdr:col>39</xdr:col>
                    <xdr:colOff>66675</xdr:colOff>
                    <xdr:row>0</xdr:row>
                    <xdr:rowOff>66675</xdr:rowOff>
                  </from>
                  <to>
                    <xdr:col>39</xdr:col>
                    <xdr:colOff>533400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13" name="Button 4">
              <controlPr defaultSize="0" print="0" autoFill="0" autoPict="0" macro="[0]!OcultarTudo">
                <anchor moveWithCells="1" sizeWithCells="1">
                  <from>
                    <xdr:col>0</xdr:col>
                    <xdr:colOff>66675</xdr:colOff>
                    <xdr:row>19</xdr:row>
                    <xdr:rowOff>171450</xdr:rowOff>
                  </from>
                  <to>
                    <xdr:col>0</xdr:col>
                    <xdr:colOff>504825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81E83A-A039-4C48-9530-A3E8D84BF2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17</vt:i4>
      </vt:variant>
    </vt:vector>
  </HeadingPairs>
  <TitlesOfParts>
    <vt:vector size="19" baseType="lpstr">
      <vt:lpstr>DadosBruto</vt:lpstr>
      <vt:lpstr>Dashboard</vt:lpstr>
      <vt:lpstr>DadosBruto!Area_de_extracao</vt:lpstr>
      <vt:lpstr>Banda</vt:lpstr>
      <vt:lpstr>DadosBruto!Criterios</vt:lpstr>
      <vt:lpstr>DadosBruto</vt:lpstr>
      <vt:lpstr>DadosPneus</vt:lpstr>
      <vt:lpstr>Dot</vt:lpstr>
      <vt:lpstr>KmNovo</vt:lpstr>
      <vt:lpstr>Marca</vt:lpstr>
      <vt:lpstr>ModeloR1</vt:lpstr>
      <vt:lpstr>ModeloR2</vt:lpstr>
      <vt:lpstr>MotivoSaidaR1</vt:lpstr>
      <vt:lpstr>MotivoSaidaR2</vt:lpstr>
      <vt:lpstr>NumeroDeFogo</vt:lpstr>
      <vt:lpstr>quilometragemR1</vt:lpstr>
      <vt:lpstr>QuilometragemR2</vt:lpstr>
      <vt:lpstr>SaidaNovo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 Alves</dc:creator>
  <cp:lastModifiedBy>Renato Alves</cp:lastModifiedBy>
  <dcterms:created xsi:type="dcterms:W3CDTF">2020-11-25T12:42:47Z</dcterms:created>
  <dcterms:modified xsi:type="dcterms:W3CDTF">2022-11-16T16:58:19Z</dcterms:modified>
</cp:coreProperties>
</file>